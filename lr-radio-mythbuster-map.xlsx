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&amp;R Radio" sheetId="1" state="visible" r:id="rId1"/>
    <sheet name="MythBu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ABQLR2615001R</t>
        </is>
      </c>
      <c r="F2" s="2" t="inlineStr">
        <is>
          <t>Ver A_15</t>
        </is>
      </c>
      <c r="G2" s="2">
        <f>HYPERLINK("https://wdvcseovujheftpzcoer.supabase.co/storage/v1/object/public/creative/ABQLR2615001R.mp3","▶ Listen")</f>
        <v/>
      </c>
      <c r="H2" s="2" t="inlineStr"/>
      <c r="I2" s="2" t="inlineStr"/>
      <c r="J2" s="2" t="inlineStr"/>
      <c r="K2" s="2" t="inlineStr">
        <is>
          <t>English</t>
        </is>
      </c>
      <c r="L2" s="2" t="inlineStr">
        <is>
          <t>15</t>
        </is>
      </c>
      <c r="M2" s="2" t="inlineStr">
        <is>
          <t>Radio</t>
        </is>
      </c>
      <c r="N2" s="2" t="inlineStr">
        <is>
          <t>ABQ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ABQLR2615002R</t>
        </is>
      </c>
      <c r="F3" s="2" t="inlineStr">
        <is>
          <t>Ver B_15</t>
        </is>
      </c>
      <c r="G3" s="2">
        <f>HYPERLINK("https://wdvcseovujheftpzcoer.supabase.co/storage/v1/object/public/creative/ABQLR2615002R.mp3","▶ Listen")</f>
        <v/>
      </c>
      <c r="H3" s="2" t="inlineStr"/>
      <c r="I3" s="2" t="inlineStr"/>
      <c r="J3" s="2" t="inlineStr"/>
      <c r="K3" s="2" t="inlineStr">
        <is>
          <t>English</t>
        </is>
      </c>
      <c r="L3" s="2" t="inlineStr">
        <is>
          <t>15</t>
        </is>
      </c>
      <c r="M3" s="2" t="inlineStr">
        <is>
          <t>Radio</t>
        </is>
      </c>
      <c r="N3" s="2" t="inlineStr">
        <is>
          <t>ABQ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ABQLR2630008R</t>
        </is>
      </c>
      <c r="F4" s="2" t="inlineStr">
        <is>
          <t>Ver A_30</t>
        </is>
      </c>
      <c r="G4" s="2">
        <f>HYPERLINK("https://wdvcseovujheftpzcoer.supabase.co/storage/v1/object/public/creative/ABQLR2630008R.mp3","▶ Listen")</f>
        <v/>
      </c>
      <c r="H4" s="2" t="inlineStr"/>
      <c r="I4" s="2" t="inlineStr"/>
      <c r="J4" s="2" t="inlineStr">
        <is>
          <t>Only one :30 (no ver b)</t>
        </is>
      </c>
      <c r="K4" s="2" t="inlineStr">
        <is>
          <t>English</t>
        </is>
      </c>
      <c r="L4" s="2" t="inlineStr">
        <is>
          <t>30</t>
        </is>
      </c>
      <c r="M4" s="2" t="inlineStr">
        <is>
          <t>Radio</t>
        </is>
      </c>
      <c r="N4" s="2" t="inlineStr">
        <is>
          <t>ABQ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CHI</t>
        </is>
      </c>
      <c r="E5" s="2" t="inlineStr">
        <is>
          <t>CHILR2615035R</t>
        </is>
      </c>
      <c r="F5" s="2" t="inlineStr">
        <is>
          <t>Ver A_15</t>
        </is>
      </c>
      <c r="G5" s="2">
        <f>HYPERLINK("https://wdvcseovujheftpzcoer.supabase.co/storage/v1/object/public/creative/CHILR2615035R.mp3","▶ Listen")</f>
        <v/>
      </c>
      <c r="H5" s="2" t="inlineStr"/>
      <c r="I5" s="2" t="inlineStr"/>
      <c r="J5" s="2" t="inlineStr"/>
      <c r="K5" s="2" t="inlineStr">
        <is>
          <t>English</t>
        </is>
      </c>
      <c r="L5" s="2" t="inlineStr">
        <is>
          <t>15</t>
        </is>
      </c>
      <c r="M5" s="2" t="inlineStr">
        <is>
          <t>Radio</t>
        </is>
      </c>
      <c r="N5" s="2" t="inlineStr">
        <is>
          <t>CHI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CHI</t>
        </is>
      </c>
      <c r="E6" s="2" t="inlineStr">
        <is>
          <t>CHILR2615036R</t>
        </is>
      </c>
      <c r="F6" s="2" t="inlineStr">
        <is>
          <t>Ver B_15</t>
        </is>
      </c>
      <c r="G6" s="2">
        <f>HYPERLINK("https://wdvcseovujheftpzcoer.supabase.co/storage/v1/object/public/creative/CHILR2615036R.mp3","▶ Listen")</f>
        <v/>
      </c>
      <c r="H6" s="2" t="inlineStr"/>
      <c r="I6" s="2" t="inlineStr"/>
      <c r="J6" s="2" t="inlineStr"/>
      <c r="K6" s="2" t="inlineStr">
        <is>
          <t>English</t>
        </is>
      </c>
      <c r="L6" s="2" t="inlineStr">
        <is>
          <t>15</t>
        </is>
      </c>
      <c r="M6" s="2" t="inlineStr">
        <is>
          <t>Radio</t>
        </is>
      </c>
      <c r="N6" s="2" t="inlineStr">
        <is>
          <t>CHI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CHI</t>
        </is>
      </c>
      <c r="E7" s="2" t="inlineStr">
        <is>
          <t>CHILR2630008R</t>
        </is>
      </c>
      <c r="F7" s="2" t="inlineStr">
        <is>
          <t>Ver A_30</t>
        </is>
      </c>
      <c r="G7" s="2">
        <f>HYPERLINK("https://wdvcseovujheftpzcoer.supabase.co/storage/v1/object/public/creative/CHILR2630008R.mp3","▶ Listen")</f>
        <v/>
      </c>
      <c r="H7" s="2" t="inlineStr"/>
      <c r="I7" s="2" t="inlineStr"/>
      <c r="J7" s="2" t="inlineStr">
        <is>
          <t>Only one :30 (no ver b)</t>
        </is>
      </c>
      <c r="K7" s="2" t="inlineStr">
        <is>
          <t>English</t>
        </is>
      </c>
      <c r="L7" s="2" t="inlineStr">
        <is>
          <t>30</t>
        </is>
      </c>
      <c r="M7" s="2" t="inlineStr">
        <is>
          <t>Radio</t>
        </is>
      </c>
      <c r="N7" s="2" t="inlineStr">
        <is>
          <t>CHI</t>
        </is>
      </c>
    </row>
    <row r="8">
      <c r="A8" s="2" t="b">
        <v>0</v>
      </c>
      <c r="B8" s="2" t="b">
        <v>0</v>
      </c>
      <c r="C8" s="2" t="b">
        <v>0</v>
      </c>
      <c r="D8" s="2" t="inlineStr">
        <is>
          <t>LVS</t>
        </is>
      </c>
      <c r="E8" s="2" t="inlineStr">
        <is>
          <t>LVSLR2615001R</t>
        </is>
      </c>
      <c r="F8" s="2" t="inlineStr">
        <is>
          <t>Ver A_15</t>
        </is>
      </c>
      <c r="G8" s="2">
        <f>HYPERLINK("https://wdvcseovujheftpzcoer.supabase.co/storage/v1/object/public/creative/LVSLR2615001R.mp3","▶ Listen")</f>
        <v/>
      </c>
      <c r="H8" s="2" t="inlineStr"/>
      <c r="I8" s="2" t="inlineStr"/>
      <c r="J8" s="2" t="inlineStr"/>
      <c r="K8" s="2" t="inlineStr">
        <is>
          <t>English</t>
        </is>
      </c>
      <c r="L8" s="2" t="inlineStr">
        <is>
          <t>15</t>
        </is>
      </c>
      <c r="M8" s="2" t="inlineStr">
        <is>
          <t>Radio</t>
        </is>
      </c>
      <c r="N8" s="2" t="inlineStr">
        <is>
          <t>LVS</t>
        </is>
      </c>
    </row>
    <row r="9">
      <c r="A9" s="2" t="b">
        <v>0</v>
      </c>
      <c r="B9" s="2" t="b">
        <v>0</v>
      </c>
      <c r="C9" s="2" t="b">
        <v>0</v>
      </c>
      <c r="D9" s="2" t="inlineStr">
        <is>
          <t>LVS</t>
        </is>
      </c>
      <c r="E9" s="2" t="inlineStr">
        <is>
          <t>LVSLR2615002R</t>
        </is>
      </c>
      <c r="F9" s="2" t="inlineStr">
        <is>
          <t>Ver B_15</t>
        </is>
      </c>
      <c r="G9" s="2">
        <f>HYPERLINK("https://wdvcseovujheftpzcoer.supabase.co/storage/v1/object/public/creative/LVSLR2615002R.mp3","▶ Listen")</f>
        <v/>
      </c>
      <c r="H9" s="2" t="inlineStr"/>
      <c r="I9" s="2" t="inlineStr"/>
      <c r="J9" s="2" t="inlineStr"/>
      <c r="K9" s="2" t="inlineStr">
        <is>
          <t>English</t>
        </is>
      </c>
      <c r="L9" s="2" t="inlineStr">
        <is>
          <t>15</t>
        </is>
      </c>
      <c r="M9" s="2" t="inlineStr">
        <is>
          <t>Radio</t>
        </is>
      </c>
      <c r="N9" s="2" t="inlineStr">
        <is>
          <t>LVS</t>
        </is>
      </c>
    </row>
    <row r="10">
      <c r="A10" s="2" t="b">
        <v>0</v>
      </c>
      <c r="B10" s="2" t="b">
        <v>0</v>
      </c>
      <c r="C10" s="2" t="b">
        <v>0</v>
      </c>
      <c r="D10" s="2" t="inlineStr">
        <is>
          <t>LVS</t>
        </is>
      </c>
      <c r="E10" s="2" t="inlineStr">
        <is>
          <t>LVSLR2630010R</t>
        </is>
      </c>
      <c r="F10" s="2" t="inlineStr">
        <is>
          <t>Ver A_30</t>
        </is>
      </c>
      <c r="G10" s="2">
        <f>HYPERLINK("https://wdvcseovujheftpzcoer.supabase.co/storage/v1/object/public/creative/LVSLR2630010R.mp3","▶ Listen")</f>
        <v/>
      </c>
      <c r="H10" s="2" t="inlineStr"/>
      <c r="I10" s="2" t="inlineStr"/>
      <c r="J10" s="2" t="inlineStr"/>
      <c r="K10" s="2" t="inlineStr">
        <is>
          <t>English</t>
        </is>
      </c>
      <c r="L10" s="2" t="inlineStr">
        <is>
          <t>30</t>
        </is>
      </c>
      <c r="M10" s="2" t="inlineStr">
        <is>
          <t>Radio</t>
        </is>
      </c>
      <c r="N10" s="2" t="inlineStr">
        <is>
          <t>LVS</t>
        </is>
      </c>
    </row>
    <row r="11">
      <c r="A11" s="2" t="b">
        <v>0</v>
      </c>
      <c r="B11" s="2" t="b">
        <v>0</v>
      </c>
      <c r="C11" s="2" t="b">
        <v>0</v>
      </c>
      <c r="D11" s="2" t="inlineStr">
        <is>
          <t>LVS</t>
        </is>
      </c>
      <c r="E11" s="2" t="inlineStr">
        <is>
          <t>LVSLR2630011R</t>
        </is>
      </c>
      <c r="F11" s="2" t="inlineStr">
        <is>
          <t>Ver B_30</t>
        </is>
      </c>
      <c r="G11" s="2">
        <f>HYPERLINK("https://wdvcseovujheftpzcoer.supabase.co/storage/v1/object/public/creative/LVSLR2630011R.mp3","▶ Listen")</f>
        <v/>
      </c>
      <c r="H11" s="2" t="inlineStr"/>
      <c r="I11" s="2" t="inlineStr"/>
      <c r="J11" s="2" t="inlineStr"/>
      <c r="K11" s="2" t="inlineStr">
        <is>
          <t>English</t>
        </is>
      </c>
      <c r="L11" s="2" t="inlineStr">
        <is>
          <t>30</t>
        </is>
      </c>
      <c r="M11" s="2" t="inlineStr">
        <is>
          <t>Radio</t>
        </is>
      </c>
      <c r="N11" s="2" t="inlineStr">
        <is>
          <t>LVS</t>
        </is>
      </c>
    </row>
    <row r="12">
      <c r="A12" s="2" t="b">
        <v>0</v>
      </c>
      <c r="B12" s="2" t="b">
        <v>0</v>
      </c>
      <c r="C12" s="2" t="b">
        <v>0</v>
      </c>
      <c r="D12" s="2" t="inlineStr">
        <is>
          <t>PHX</t>
        </is>
      </c>
      <c r="E12" s="2" t="inlineStr">
        <is>
          <t>PHXLR2615005R</t>
        </is>
      </c>
      <c r="F12" s="2" t="inlineStr">
        <is>
          <t>Ver A_15</t>
        </is>
      </c>
      <c r="G12" s="2">
        <f>HYPERLINK("https://wdvcseovujheftpzcoer.supabase.co/storage/v1/object/public/creative/PHXLR2615005R.mp3","▶ Listen")</f>
        <v/>
      </c>
      <c r="H12" s="2" t="inlineStr"/>
      <c r="I12" s="2" t="inlineStr"/>
      <c r="J12" s="2" t="inlineStr"/>
      <c r="K12" s="2" t="inlineStr">
        <is>
          <t>English</t>
        </is>
      </c>
      <c r="L12" s="2" t="inlineStr">
        <is>
          <t>15</t>
        </is>
      </c>
      <c r="M12" s="2" t="inlineStr">
        <is>
          <t>Radio</t>
        </is>
      </c>
      <c r="N12" s="2" t="inlineStr">
        <is>
          <t>PHX</t>
        </is>
      </c>
    </row>
    <row r="13">
      <c r="A13" s="2" t="b">
        <v>0</v>
      </c>
      <c r="B13" s="2" t="b">
        <v>0</v>
      </c>
      <c r="C13" s="2" t="b">
        <v>0</v>
      </c>
      <c r="D13" s="2" t="inlineStr">
        <is>
          <t>PHX</t>
        </is>
      </c>
      <c r="E13" s="2" t="inlineStr">
        <is>
          <t>PHXLR2615006R</t>
        </is>
      </c>
      <c r="F13" s="2" t="inlineStr">
        <is>
          <t>Ver B_15</t>
        </is>
      </c>
      <c r="G13" s="2">
        <f>HYPERLINK("https://wdvcseovujheftpzcoer.supabase.co/storage/v1/object/public/creative/PHXLR2615006R.mp3","▶ Listen")</f>
        <v/>
      </c>
      <c r="H13" s="2" t="inlineStr"/>
      <c r="I13" s="2" t="inlineStr"/>
      <c r="J13" s="2" t="inlineStr"/>
      <c r="K13" s="2" t="inlineStr">
        <is>
          <t>English</t>
        </is>
      </c>
      <c r="L13" s="2" t="inlineStr">
        <is>
          <t>15</t>
        </is>
      </c>
      <c r="M13" s="2" t="inlineStr">
        <is>
          <t>Radio</t>
        </is>
      </c>
      <c r="N13" s="2" t="inlineStr">
        <is>
          <t>PHX</t>
        </is>
      </c>
    </row>
    <row r="14">
      <c r="A14" s="2" t="b">
        <v>0</v>
      </c>
      <c r="B14" s="2" t="b">
        <v>0</v>
      </c>
      <c r="C14" s="2" t="b">
        <v>0</v>
      </c>
      <c r="D14" s="2" t="inlineStr">
        <is>
          <t>PHX</t>
        </is>
      </c>
      <c r="E14" s="2" t="inlineStr">
        <is>
          <t>PHXLR2630005R</t>
        </is>
      </c>
      <c r="F14" s="2" t="inlineStr">
        <is>
          <t>Ver A_30</t>
        </is>
      </c>
      <c r="G14" s="2">
        <f>HYPERLINK("https://wdvcseovujheftpzcoer.supabase.co/storage/v1/object/public/creative/PHXLR2630005R.mp3","▶ Listen")</f>
        <v/>
      </c>
      <c r="H14" s="2" t="inlineStr"/>
      <c r="I14" s="2" t="inlineStr"/>
      <c r="J14" s="2" t="inlineStr"/>
      <c r="K14" s="2" t="inlineStr">
        <is>
          <t>English</t>
        </is>
      </c>
      <c r="L14" s="2" t="inlineStr">
        <is>
          <t>30</t>
        </is>
      </c>
      <c r="M14" s="2" t="inlineStr">
        <is>
          <t>Radio</t>
        </is>
      </c>
      <c r="N14" s="2" t="inlineStr">
        <is>
          <t>PHX</t>
        </is>
      </c>
    </row>
    <row r="15">
      <c r="A15" s="2" t="b">
        <v>0</v>
      </c>
      <c r="B15" s="2" t="b">
        <v>0</v>
      </c>
      <c r="C15" s="2" t="b">
        <v>0</v>
      </c>
      <c r="D15" s="2" t="inlineStr">
        <is>
          <t>PHX</t>
        </is>
      </c>
      <c r="E15" s="2" t="inlineStr">
        <is>
          <t>PHXLR2630006R</t>
        </is>
      </c>
      <c r="F15" s="2" t="inlineStr">
        <is>
          <t>Ver B_30</t>
        </is>
      </c>
      <c r="G15" s="2">
        <f>HYPERLINK("https://wdvcseovujheftpzcoer.supabase.co/storage/v1/object/public/creative/PHXLR2630006R.mp3","▶ Listen")</f>
        <v/>
      </c>
      <c r="H15" s="2" t="inlineStr"/>
      <c r="I15" s="2" t="inlineStr"/>
      <c r="J15" s="2" t="inlineStr"/>
      <c r="K15" s="2" t="inlineStr">
        <is>
          <t>English</t>
        </is>
      </c>
      <c r="L15" s="2" t="inlineStr">
        <is>
          <t>30</t>
        </is>
      </c>
      <c r="M15" s="2" t="inlineStr">
        <is>
          <t>Radio</t>
        </is>
      </c>
      <c r="N15" s="2" t="inlineStr">
        <is>
          <t>PHX</t>
        </is>
      </c>
    </row>
    <row r="16">
      <c r="A16" s="2" t="b">
        <v>0</v>
      </c>
      <c r="B16" s="2" t="b">
        <v>0</v>
      </c>
      <c r="C16" s="2" t="b">
        <v>0</v>
      </c>
      <c r="D16" s="2" t="inlineStr">
        <is>
          <t>RNO</t>
        </is>
      </c>
      <c r="E16" s="2" t="inlineStr">
        <is>
          <t>RNOLR2615001R</t>
        </is>
      </c>
      <c r="F16" s="2" t="inlineStr">
        <is>
          <t>Ver A_15</t>
        </is>
      </c>
      <c r="G16" s="2">
        <f>HYPERLINK("https://wdvcseovujheftpzcoer.supabase.co/storage/v1/object/public/creative/RNOLR2615001R.mp3","▶ Listen")</f>
        <v/>
      </c>
      <c r="H16" s="2" t="inlineStr"/>
      <c r="I16" s="2" t="inlineStr"/>
      <c r="J16" s="2" t="inlineStr"/>
      <c r="K16" s="2" t="inlineStr">
        <is>
          <t>English</t>
        </is>
      </c>
      <c r="L16" s="2" t="inlineStr">
        <is>
          <t>15</t>
        </is>
      </c>
      <c r="M16" s="2" t="inlineStr">
        <is>
          <t>Radio</t>
        </is>
      </c>
      <c r="N16" s="2" t="inlineStr">
        <is>
          <t>RNO</t>
        </is>
      </c>
    </row>
    <row r="17">
      <c r="A17" s="2" t="b">
        <v>0</v>
      </c>
      <c r="B17" s="2" t="b">
        <v>0</v>
      </c>
      <c r="C17" s="2" t="b">
        <v>0</v>
      </c>
      <c r="D17" s="2" t="inlineStr">
        <is>
          <t>RNO</t>
        </is>
      </c>
      <c r="E17" s="2" t="inlineStr">
        <is>
          <t>RNOLR2615002R</t>
        </is>
      </c>
      <c r="F17" s="2" t="inlineStr">
        <is>
          <t>Ver B_15</t>
        </is>
      </c>
      <c r="G17" s="2">
        <f>HYPERLINK("https://wdvcseovujheftpzcoer.supabase.co/storage/v1/object/public/creative/RNOLR2615002R.mp3","▶ Listen")</f>
        <v/>
      </c>
      <c r="H17" s="2" t="inlineStr"/>
      <c r="I17" s="2" t="inlineStr"/>
      <c r="J17" s="2" t="inlineStr"/>
      <c r="K17" s="2" t="inlineStr">
        <is>
          <t>English</t>
        </is>
      </c>
      <c r="L17" s="2" t="inlineStr">
        <is>
          <t>15</t>
        </is>
      </c>
      <c r="M17" s="2" t="inlineStr">
        <is>
          <t>Radio</t>
        </is>
      </c>
      <c r="N17" s="2" t="inlineStr">
        <is>
          <t>RNO</t>
        </is>
      </c>
    </row>
    <row r="18">
      <c r="A18" s="2" t="b">
        <v>0</v>
      </c>
      <c r="B18" s="2" t="b">
        <v>0</v>
      </c>
      <c r="C18" s="2" t="b">
        <v>0</v>
      </c>
      <c r="D18" s="2" t="inlineStr">
        <is>
          <t>RNO</t>
        </is>
      </c>
      <c r="E18" s="2" t="inlineStr">
        <is>
          <t>RNOLR2630006R</t>
        </is>
      </c>
      <c r="F18" s="2" t="inlineStr">
        <is>
          <t>Ver A_30</t>
        </is>
      </c>
      <c r="G18" s="2">
        <f>HYPERLINK("https://wdvcseovujheftpzcoer.supabase.co/storage/v1/object/public/creative/RNOLR2630006R.mp3","▶ Listen")</f>
        <v/>
      </c>
      <c r="H18" s="2" t="inlineStr"/>
      <c r="I18" s="2" t="inlineStr"/>
      <c r="J18" s="2" t="inlineStr"/>
      <c r="K18" s="2" t="inlineStr">
        <is>
          <t>English</t>
        </is>
      </c>
      <c r="L18" s="2" t="inlineStr">
        <is>
          <t>30</t>
        </is>
      </c>
      <c r="M18" s="2" t="inlineStr">
        <is>
          <t>Radio</t>
        </is>
      </c>
      <c r="N18" s="2" t="inlineStr">
        <is>
          <t>RNO</t>
        </is>
      </c>
    </row>
    <row r="19">
      <c r="A19" s="2" t="b">
        <v>0</v>
      </c>
      <c r="B19" s="2" t="b">
        <v>0</v>
      </c>
      <c r="C19" s="2" t="b">
        <v>0</v>
      </c>
      <c r="D19" s="2" t="inlineStr">
        <is>
          <t>RNO</t>
        </is>
      </c>
      <c r="E19" s="2" t="inlineStr">
        <is>
          <t>RNOLR2630007R</t>
        </is>
      </c>
      <c r="F19" s="2" t="inlineStr">
        <is>
          <t>Ver B_30</t>
        </is>
      </c>
      <c r="G19" s="2">
        <f>HYPERLINK("https://wdvcseovujheftpzcoer.supabase.co/storage/v1/object/public/creative/RNOLR2630007R.mp3","▶ Listen")</f>
        <v/>
      </c>
      <c r="H19" s="2" t="inlineStr"/>
      <c r="I19" s="2" t="inlineStr"/>
      <c r="J19" s="2" t="inlineStr"/>
      <c r="K19" s="2" t="inlineStr">
        <is>
          <t>English</t>
        </is>
      </c>
      <c r="L19" s="2" t="inlineStr">
        <is>
          <t>30</t>
        </is>
      </c>
      <c r="M19" s="2" t="inlineStr">
        <is>
          <t>Radio</t>
        </is>
      </c>
      <c r="N19" s="2" t="inlineStr">
        <is>
          <t>RNO</t>
        </is>
      </c>
    </row>
    <row r="20">
      <c r="A20" s="2" t="b">
        <v>0</v>
      </c>
      <c r="B20" s="2" t="b">
        <v>0</v>
      </c>
      <c r="C20" s="2" t="b">
        <v>0</v>
      </c>
      <c r="D20" s="2" t="inlineStr">
        <is>
          <t>SEA</t>
        </is>
      </c>
      <c r="E20" s="2" t="inlineStr">
        <is>
          <t>SEALR2615001R</t>
        </is>
      </c>
      <c r="F20" s="2" t="inlineStr">
        <is>
          <t>Ver A_15</t>
        </is>
      </c>
      <c r="G20" s="2">
        <f>HYPERLINK("https://wdvcseovujheftpzcoer.supabase.co/storage/v1/object/public/creative/SEALR2615001R.mp3","▶ Listen")</f>
        <v/>
      </c>
      <c r="H20" s="2" t="inlineStr"/>
      <c r="I20" s="2" t="inlineStr"/>
      <c r="J20" s="2" t="inlineStr">
        <is>
          <t>NEW MARKET - first Seattle spots</t>
        </is>
      </c>
      <c r="K20" s="2" t="inlineStr">
        <is>
          <t>English</t>
        </is>
      </c>
      <c r="L20" s="2" t="inlineStr">
        <is>
          <t>15</t>
        </is>
      </c>
      <c r="M20" s="2" t="inlineStr">
        <is>
          <t>Radio</t>
        </is>
      </c>
      <c r="N20" s="2" t="inlineStr">
        <is>
          <t>SEA</t>
        </is>
      </c>
    </row>
    <row r="21">
      <c r="A21" s="2" t="b">
        <v>0</v>
      </c>
      <c r="B21" s="2" t="b">
        <v>0</v>
      </c>
      <c r="C21" s="2" t="b">
        <v>0</v>
      </c>
      <c r="D21" s="2" t="inlineStr">
        <is>
          <t>SEA</t>
        </is>
      </c>
      <c r="E21" s="2" t="inlineStr">
        <is>
          <t>SEALR2615002R</t>
        </is>
      </c>
      <c r="F21" s="2" t="inlineStr">
        <is>
          <t>Ver B_15</t>
        </is>
      </c>
      <c r="G21" s="2">
        <f>HYPERLINK("https://wdvcseovujheftpzcoer.supabase.co/storage/v1/object/public/creative/SEALR2615002R.mp3","▶ Listen")</f>
        <v/>
      </c>
      <c r="H21" s="2" t="inlineStr"/>
      <c r="I21" s="2" t="inlineStr"/>
      <c r="J21" s="2" t="inlineStr">
        <is>
          <t>NEW MARKET</t>
        </is>
      </c>
      <c r="K21" s="2" t="inlineStr">
        <is>
          <t>English</t>
        </is>
      </c>
      <c r="L21" s="2" t="inlineStr">
        <is>
          <t>15</t>
        </is>
      </c>
      <c r="M21" s="2" t="inlineStr">
        <is>
          <t>Radio</t>
        </is>
      </c>
      <c r="N21" s="2" t="inlineStr">
        <is>
          <t>SEA</t>
        </is>
      </c>
    </row>
    <row r="22">
      <c r="A22" s="2" t="b">
        <v>0</v>
      </c>
      <c r="B22" s="2" t="b">
        <v>0</v>
      </c>
      <c r="C22" s="2" t="b">
        <v>0</v>
      </c>
      <c r="D22" s="2" t="inlineStr">
        <is>
          <t>SEA</t>
        </is>
      </c>
      <c r="E22" s="2" t="inlineStr">
        <is>
          <t>SEALR2630001R</t>
        </is>
      </c>
      <c r="F22" s="2" t="inlineStr">
        <is>
          <t>Ver A_30</t>
        </is>
      </c>
      <c r="G22" s="2">
        <f>HYPERLINK("https://wdvcseovujheftpzcoer.supabase.co/storage/v1/object/public/creative/SEALR2630001R.mp3","▶ Listen")</f>
        <v/>
      </c>
      <c r="H22" s="2" t="inlineStr"/>
      <c r="I22" s="2" t="inlineStr"/>
      <c r="J22" s="2" t="inlineStr">
        <is>
          <t>NEW MARKET - only one :30 (no ver b)</t>
        </is>
      </c>
      <c r="K22" s="2" t="inlineStr">
        <is>
          <t>English</t>
        </is>
      </c>
      <c r="L22" s="2" t="inlineStr">
        <is>
          <t>30</t>
        </is>
      </c>
      <c r="M22" s="2" t="inlineStr">
        <is>
          <t>Radio</t>
        </is>
      </c>
      <c r="N22" s="2" t="inlineStr">
        <is>
          <t>SEA</t>
        </is>
      </c>
    </row>
    <row r="23">
      <c r="A23" s="2" t="b">
        <v>0</v>
      </c>
      <c r="B23" s="2" t="b">
        <v>0</v>
      </c>
      <c r="C23" s="2" t="b">
        <v>0</v>
      </c>
      <c r="D23" s="2" t="inlineStr">
        <is>
          <t>TUC</t>
        </is>
      </c>
      <c r="E23" s="2" t="inlineStr">
        <is>
          <t>TUCLR2615005R</t>
        </is>
      </c>
      <c r="F23" s="2" t="inlineStr">
        <is>
          <t>Ver A_15</t>
        </is>
      </c>
      <c r="G23" s="2">
        <f>HYPERLINK("https://wdvcseovujheftpzcoer.supabase.co/storage/v1/object/public/creative/TUCLR2615005R.mp3","▶ Listen")</f>
        <v/>
      </c>
      <c r="H23" s="2" t="inlineStr"/>
      <c r="I23" s="2" t="inlineStr"/>
      <c r="J23" s="2" t="inlineStr"/>
      <c r="K23" s="2" t="inlineStr">
        <is>
          <t>English</t>
        </is>
      </c>
      <c r="L23" s="2" t="inlineStr">
        <is>
          <t>15</t>
        </is>
      </c>
      <c r="M23" s="2" t="inlineStr">
        <is>
          <t>Radio</t>
        </is>
      </c>
      <c r="N23" s="2" t="inlineStr">
        <is>
          <t>TUC</t>
        </is>
      </c>
    </row>
    <row r="24">
      <c r="A24" s="2" t="b">
        <v>0</v>
      </c>
      <c r="B24" s="2" t="b">
        <v>0</v>
      </c>
      <c r="C24" s="2" t="b">
        <v>0</v>
      </c>
      <c r="D24" s="2" t="inlineStr">
        <is>
          <t>TUC</t>
        </is>
      </c>
      <c r="E24" s="2" t="inlineStr">
        <is>
          <t>TUCLR2615006R</t>
        </is>
      </c>
      <c r="F24" s="2" t="inlineStr">
        <is>
          <t>Ver B_15</t>
        </is>
      </c>
      <c r="G24" s="2">
        <f>HYPERLINK("https://wdvcseovujheftpzcoer.supabase.co/storage/v1/object/public/creative/TUCLR2615006R.mp3","▶ Listen")</f>
        <v/>
      </c>
      <c r="H24" s="2" t="inlineStr"/>
      <c r="I24" s="2" t="inlineStr"/>
      <c r="J24" s="2" t="inlineStr"/>
      <c r="K24" s="2" t="inlineStr">
        <is>
          <t>English</t>
        </is>
      </c>
      <c r="L24" s="2" t="inlineStr">
        <is>
          <t>15</t>
        </is>
      </c>
      <c r="M24" s="2" t="inlineStr">
        <is>
          <t>Radio</t>
        </is>
      </c>
      <c r="N24" s="2" t="inlineStr">
        <is>
          <t>TUC</t>
        </is>
      </c>
    </row>
    <row r="25">
      <c r="A25" s="2" t="b">
        <v>0</v>
      </c>
      <c r="B25" s="2" t="b">
        <v>0</v>
      </c>
      <c r="C25" s="2" t="b">
        <v>0</v>
      </c>
      <c r="D25" s="2" t="inlineStr">
        <is>
          <t>TUC</t>
        </is>
      </c>
      <c r="E25" s="2" t="inlineStr">
        <is>
          <t>TUCLR2630005R</t>
        </is>
      </c>
      <c r="F25" s="2" t="inlineStr">
        <is>
          <t>Ver A_30</t>
        </is>
      </c>
      <c r="G25" s="2">
        <f>HYPERLINK("https://wdvcseovujheftpzcoer.supabase.co/storage/v1/object/public/creative/TUCLR2630005R.mp3","▶ Listen")</f>
        <v/>
      </c>
      <c r="H25" s="2" t="inlineStr"/>
      <c r="I25" s="2" t="inlineStr"/>
      <c r="J25" s="2" t="inlineStr"/>
      <c r="K25" s="2" t="inlineStr">
        <is>
          <t>English</t>
        </is>
      </c>
      <c r="L25" s="2" t="inlineStr">
        <is>
          <t>30</t>
        </is>
      </c>
      <c r="M25" s="2" t="inlineStr">
        <is>
          <t>Radio</t>
        </is>
      </c>
      <c r="N25" s="2" t="inlineStr">
        <is>
          <t>TUC</t>
        </is>
      </c>
    </row>
    <row r="26">
      <c r="A26" s="2" t="b">
        <v>0</v>
      </c>
      <c r="B26" s="2" t="b">
        <v>0</v>
      </c>
      <c r="C26" s="2" t="b">
        <v>0</v>
      </c>
      <c r="D26" s="2" t="inlineStr">
        <is>
          <t>TUC</t>
        </is>
      </c>
      <c r="E26" s="2" t="inlineStr">
        <is>
          <t>TUCLR2630006R</t>
        </is>
      </c>
      <c r="F26" s="2" t="inlineStr">
        <is>
          <t>Ver B_30</t>
        </is>
      </c>
      <c r="G26" s="2">
        <f>HYPERLINK("https://wdvcseovujheftpzcoer.supabase.co/storage/v1/object/public/creative/TUCLR2630006R.mp3","▶ Listen")</f>
        <v/>
      </c>
      <c r="H26" s="2" t="inlineStr"/>
      <c r="I26" s="2" t="inlineStr"/>
      <c r="J26" s="2" t="inlineStr"/>
      <c r="K26" s="2" t="inlineStr">
        <is>
          <t>English</t>
        </is>
      </c>
      <c r="L26" s="2" t="inlineStr">
        <is>
          <t>30</t>
        </is>
      </c>
      <c r="M26" s="2" t="inlineStr">
        <is>
          <t>Radio</t>
        </is>
      </c>
      <c r="N26" s="2" t="inlineStr">
        <is>
          <t>TUC</t>
        </is>
      </c>
    </row>
    <row r="27">
      <c r="A27" s="2" t="b">
        <v>0</v>
      </c>
      <c r="B27" s="2" t="b">
        <v>0</v>
      </c>
      <c r="C27" s="2" t="b">
        <v>0</v>
      </c>
      <c r="D27" s="2" t="inlineStr">
        <is>
          <t>YMA</t>
        </is>
      </c>
      <c r="E27" s="2" t="inlineStr">
        <is>
          <t>YMALR2615001R</t>
        </is>
      </c>
      <c r="F27" s="2" t="inlineStr">
        <is>
          <t>Ver A_15</t>
        </is>
      </c>
      <c r="G27" s="2">
        <f>HYPERLINK("https://wdvcseovujheftpzcoer.supabase.co/storage/v1/object/public/creative/YMALR2615001R.mp3","▶ Listen")</f>
        <v/>
      </c>
      <c r="H27" s="2" t="inlineStr"/>
      <c r="I27" s="2" t="inlineStr"/>
      <c r="J27" s="2" t="inlineStr"/>
      <c r="K27" s="2" t="inlineStr">
        <is>
          <t>English</t>
        </is>
      </c>
      <c r="L27" s="2" t="inlineStr">
        <is>
          <t>15</t>
        </is>
      </c>
      <c r="M27" s="2" t="inlineStr">
        <is>
          <t>Radio</t>
        </is>
      </c>
      <c r="N27" s="2" t="inlineStr">
        <is>
          <t>YMA</t>
        </is>
      </c>
    </row>
    <row r="28">
      <c r="A28" s="2" t="b">
        <v>0</v>
      </c>
      <c r="B28" s="2" t="b">
        <v>0</v>
      </c>
      <c r="C28" s="2" t="b">
        <v>0</v>
      </c>
      <c r="D28" s="2" t="inlineStr">
        <is>
          <t>YMA</t>
        </is>
      </c>
      <c r="E28" s="2" t="inlineStr">
        <is>
          <t>YMALR2615002R</t>
        </is>
      </c>
      <c r="F28" s="2" t="inlineStr">
        <is>
          <t>Ver B_15</t>
        </is>
      </c>
      <c r="G28" s="2">
        <f>HYPERLINK("https://wdvcseovujheftpzcoer.supabase.co/storage/v1/object/public/creative/YMALR2615002R.mp3","▶ Listen")</f>
        <v/>
      </c>
      <c r="H28" s="2" t="inlineStr"/>
      <c r="I28" s="2" t="inlineStr"/>
      <c r="J28" s="2" t="inlineStr">
        <is>
          <t>File code reads LRYM3639 - likely LRYM36239, confirm</t>
        </is>
      </c>
      <c r="K28" s="2" t="inlineStr">
        <is>
          <t>English</t>
        </is>
      </c>
      <c r="L28" s="2" t="inlineStr">
        <is>
          <t>15</t>
        </is>
      </c>
      <c r="M28" s="2" t="inlineStr">
        <is>
          <t>Radio</t>
        </is>
      </c>
      <c r="N28" s="2" t="inlineStr">
        <is>
          <t>YMA</t>
        </is>
      </c>
    </row>
    <row r="29">
      <c r="A29" s="2" t="b">
        <v>0</v>
      </c>
      <c r="B29" s="2" t="b">
        <v>0</v>
      </c>
      <c r="C29" s="2" t="b">
        <v>0</v>
      </c>
      <c r="D29" s="2" t="inlineStr">
        <is>
          <t>YMA</t>
        </is>
      </c>
      <c r="E29" s="2" t="inlineStr">
        <is>
          <t>YMALR2630001R</t>
        </is>
      </c>
      <c r="F29" s="2" t="inlineStr">
        <is>
          <t>Ver A_30</t>
        </is>
      </c>
      <c r="G29" s="2">
        <f>HYPERLINK("https://wdvcseovujheftpzcoer.supabase.co/storage/v1/object/public/creative/YMALR2630001R.mp3","▶ Listen")</f>
        <v/>
      </c>
      <c r="H29" s="2" t="inlineStr"/>
      <c r="I29" s="2" t="inlineStr"/>
      <c r="J29" s="2" t="inlineStr"/>
      <c r="K29" s="2" t="inlineStr">
        <is>
          <t>English</t>
        </is>
      </c>
      <c r="L29" s="2" t="inlineStr">
        <is>
          <t>30</t>
        </is>
      </c>
      <c r="M29" s="2" t="inlineStr">
        <is>
          <t>Radio</t>
        </is>
      </c>
      <c r="N29" s="2" t="inlineStr">
        <is>
          <t>YMA</t>
        </is>
      </c>
    </row>
    <row r="30">
      <c r="A30" s="2" t="b">
        <v>0</v>
      </c>
      <c r="B30" s="2" t="b">
        <v>0</v>
      </c>
      <c r="C30" s="2" t="b">
        <v>0</v>
      </c>
      <c r="D30" s="2" t="inlineStr">
        <is>
          <t>YMA</t>
        </is>
      </c>
      <c r="E30" s="2" t="inlineStr">
        <is>
          <t>YMALR2630002R</t>
        </is>
      </c>
      <c r="F30" s="2" t="inlineStr">
        <is>
          <t>Ver B_30</t>
        </is>
      </c>
      <c r="G30" s="2">
        <f>HYPERLINK("https://wdvcseovujheftpzcoer.supabase.co/storage/v1/object/public/creative/YMALR2630002R.mp3","▶ Listen")</f>
        <v/>
      </c>
      <c r="H30" s="2" t="inlineStr"/>
      <c r="I30" s="2" t="inlineStr"/>
      <c r="J30" s="2" t="inlineStr"/>
      <c r="K30" s="2" t="inlineStr">
        <is>
          <t>English</t>
        </is>
      </c>
      <c r="L30" s="2" t="inlineStr">
        <is>
          <t>30</t>
        </is>
      </c>
      <c r="M30" s="2" t="inlineStr">
        <is>
          <t>Radio</t>
        </is>
      </c>
      <c r="N30" s="2" t="inlineStr">
        <is>
          <t>YMA</t>
        </is>
      </c>
    </row>
  </sheetData>
  <conditionalFormatting sqref="A2:N30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17" customWidth="1" min="5" max="5"/>
    <col width="24" customWidth="1" min="6" max="6"/>
    <col width="10" customWidth="1" min="7" max="7"/>
    <col width="16" customWidth="1" min="8" max="8"/>
    <col width="14" customWidth="1" min="9" max="9"/>
    <col width="55" customWidth="1" min="10" max="10"/>
    <col width="9" customWidth="1" min="11" max="11"/>
    <col width="8" customWidth="1" min="12" max="12"/>
    <col width="8" customWidth="1" min="13" max="13"/>
    <col width="32" customWidth="1" min="14" max="14"/>
  </cols>
  <sheetData>
    <row r="1">
      <c r="A1" s="1" t="inlineStr">
        <is>
          <t>Favorite</t>
        </is>
      </c>
      <c r="B1" s="1" t="inlineStr">
        <is>
          <t>Maybe</t>
        </is>
      </c>
      <c r="C1" s="1" t="inlineStr">
        <is>
          <t>Dislike</t>
        </is>
      </c>
      <c r="D1" s="1" t="inlineStr">
        <is>
          <t>Market</t>
        </is>
      </c>
      <c r="E1" s="1" t="inlineStr">
        <is>
          <t>ISCI Code</t>
        </is>
      </c>
      <c r="F1" s="1" t="inlineStr">
        <is>
          <t>Title</t>
        </is>
      </c>
      <c r="G1" s="1" t="inlineStr">
        <is>
          <t>Watch</t>
        </is>
      </c>
      <c r="H1" s="1" t="inlineStr">
        <is>
          <t>Category</t>
        </is>
      </c>
      <c r="I1" s="1" t="inlineStr">
        <is>
          <t>Value Prop</t>
        </is>
      </c>
      <c r="J1" s="1" t="inlineStr">
        <is>
          <t>Notes</t>
        </is>
      </c>
      <c r="K1" s="1" t="inlineStr">
        <is>
          <t>Lang</t>
        </is>
      </c>
      <c r="L1" s="1" t="inlineStr">
        <is>
          <t>Length</t>
        </is>
      </c>
      <c r="M1" s="1" t="inlineStr">
        <is>
          <t>Media</t>
        </is>
      </c>
      <c r="N1" s="1" t="inlineStr">
        <is>
          <t>Markets</t>
        </is>
      </c>
    </row>
    <row r="2">
      <c r="A2" s="2" t="b">
        <v>0</v>
      </c>
      <c r="B2" s="2" t="b">
        <v>0</v>
      </c>
      <c r="C2" s="2" t="b">
        <v>0</v>
      </c>
      <c r="D2" s="2" t="inlineStr">
        <is>
          <t>ABQ</t>
        </is>
      </c>
      <c r="E2" s="2" t="inlineStr">
        <is>
          <t>ABQLR2615021T</t>
        </is>
      </c>
      <c r="F2" s="2" t="inlineStr">
        <is>
          <t>MythBuster 1 16x9_15</t>
        </is>
      </c>
      <c r="G2" s="2">
        <f>HYPERLINK("https://drive.google.com/file/d/1ZPAsjgs6bv-1njUnjhA1bDXMvmFk51uT/view","▶ Watch")</f>
        <v/>
      </c>
      <c r="H2" s="2" t="inlineStr">
        <is>
          <t>Brand</t>
        </is>
      </c>
      <c r="I2" s="2" t="inlineStr">
        <is>
          <t>Experience</t>
        </is>
      </c>
      <c r="J2" s="2" t="inlineStr">
        <is>
          <t>9x16 vertical also available - Sent previously — "I feel fine, I don't need to see a doctor."</t>
        </is>
      </c>
      <c r="K2" s="2" t="inlineStr">
        <is>
          <t>English</t>
        </is>
      </c>
      <c r="L2" s="2" t="inlineStr">
        <is>
          <t>15</t>
        </is>
      </c>
      <c r="M2" s="2" t="inlineStr">
        <is>
          <t>TV</t>
        </is>
      </c>
      <c r="N2" s="2" t="inlineStr">
        <is>
          <t>ABQ, BHD, CHI, FLG, LVS, PHX, RNO, TUC, YMA</t>
        </is>
      </c>
    </row>
    <row r="3">
      <c r="A3" s="2" t="b">
        <v>0</v>
      </c>
      <c r="B3" s="2" t="b">
        <v>0</v>
      </c>
      <c r="C3" s="2" t="b">
        <v>0</v>
      </c>
      <c r="D3" s="2" t="inlineStr">
        <is>
          <t>ABQ</t>
        </is>
      </c>
      <c r="E3" s="2" t="inlineStr">
        <is>
          <t>ABQLR2615022T</t>
        </is>
      </c>
      <c r="F3" s="2" t="inlineStr">
        <is>
          <t>MythBuster 2 16x9_15</t>
        </is>
      </c>
      <c r="G3" s="2">
        <f>HYPERLINK("https://drive.google.com/file/d/1txG5hSwWh22U-4hA6CMenJ-3T1Xuzrnu/view","▶ Watch")</f>
        <v/>
      </c>
      <c r="H3" s="2" t="inlineStr">
        <is>
          <t>Brand</t>
        </is>
      </c>
      <c r="I3" s="2" t="inlineStr">
        <is>
          <t>Experience</t>
        </is>
      </c>
      <c r="J3" s="2" t="inlineStr">
        <is>
          <t>Sent previously — "It's better to let the insurance company figure out what to pay me."</t>
        </is>
      </c>
      <c r="K3" s="2" t="inlineStr">
        <is>
          <t>English</t>
        </is>
      </c>
      <c r="L3" s="2" t="inlineStr">
        <is>
          <t>15</t>
        </is>
      </c>
      <c r="M3" s="2" t="inlineStr">
        <is>
          <t>TV</t>
        </is>
      </c>
      <c r="N3" s="2" t="inlineStr">
        <is>
          <t>ABQ, BHD, CHI, FLG, LVS, PHX, RNO, TUC, YMA</t>
        </is>
      </c>
    </row>
    <row r="4">
      <c r="A4" s="2" t="b">
        <v>0</v>
      </c>
      <c r="B4" s="2" t="b">
        <v>0</v>
      </c>
      <c r="C4" s="2" t="b">
        <v>0</v>
      </c>
      <c r="D4" s="2" t="inlineStr">
        <is>
          <t>ABQ</t>
        </is>
      </c>
      <c r="E4" s="2" t="inlineStr">
        <is>
          <t>ABQLR2615023T</t>
        </is>
      </c>
      <c r="F4" s="2" t="inlineStr">
        <is>
          <t>MythBuster 3 16x9_15</t>
        </is>
      </c>
      <c r="G4" s="2">
        <f>HYPERLINK("https://drive.google.com/file/d/1vERcdUNiX_m2FJaTLN6aLthn7NGWD1Yf/view","▶ Watch")</f>
        <v/>
      </c>
      <c r="H4" s="2" t="inlineStr">
        <is>
          <t>Brand</t>
        </is>
      </c>
      <c r="I4" s="2" t="inlineStr">
        <is>
          <t>Experience</t>
        </is>
      </c>
      <c r="J4" s="2" t="inlineStr">
        <is>
          <t>Sent previously — "I thought it was for the police to decide whose fault it is."</t>
        </is>
      </c>
      <c r="K4" s="2" t="inlineStr">
        <is>
          <t>English</t>
        </is>
      </c>
      <c r="L4" s="2" t="inlineStr">
        <is>
          <t>15</t>
        </is>
      </c>
      <c r="M4" s="2" t="inlineStr">
        <is>
          <t>TV</t>
        </is>
      </c>
      <c r="N4" s="2" t="inlineStr">
        <is>
          <t>ABQ, BHD, CHI, FLG, LVS, PHX, RNO, TUC, YMA</t>
        </is>
      </c>
    </row>
    <row r="5">
      <c r="A5" s="2" t="b">
        <v>0</v>
      </c>
      <c r="B5" s="2" t="b">
        <v>0</v>
      </c>
      <c r="C5" s="2" t="b">
        <v>0</v>
      </c>
      <c r="D5" s="2" t="inlineStr">
        <is>
          <t>ABQ</t>
        </is>
      </c>
      <c r="E5" s="2" t="inlineStr">
        <is>
          <t>ABQLR2615024T</t>
        </is>
      </c>
      <c r="F5" s="2" t="inlineStr">
        <is>
          <t>MythBuster 4 16x9_15</t>
        </is>
      </c>
      <c r="G5" s="2">
        <f>HYPERLINK("https://drive.google.com/file/d/1WJp_Ffw5KNtmECyJl-EZ9-1tUXrRkx59/view","▶ Watch")</f>
        <v/>
      </c>
      <c r="H5" s="2" t="inlineStr">
        <is>
          <t>Brand</t>
        </is>
      </c>
      <c r="I5" s="2" t="inlineStr">
        <is>
          <t>Experience</t>
        </is>
      </c>
      <c r="J5" s="2" t="inlineStr">
        <is>
          <t>Sent previously — "Hiring an attorney is unnecessary and too expensive."</t>
        </is>
      </c>
      <c r="K5" s="2" t="inlineStr">
        <is>
          <t>English</t>
        </is>
      </c>
      <c r="L5" s="2" t="inlineStr">
        <is>
          <t>15</t>
        </is>
      </c>
      <c r="M5" s="2" t="inlineStr">
        <is>
          <t>TV</t>
        </is>
      </c>
      <c r="N5" s="2" t="inlineStr">
        <is>
          <t>ABQ, BHD, CHI, FLG, LVS, PHX, RNO, TUC, YMA</t>
        </is>
      </c>
    </row>
    <row r="6">
      <c r="A6" s="2" t="b">
        <v>0</v>
      </c>
      <c r="B6" s="2" t="b">
        <v>0</v>
      </c>
      <c r="C6" s="2" t="b">
        <v>0</v>
      </c>
      <c r="D6" s="2" t="inlineStr">
        <is>
          <t>ABQ</t>
        </is>
      </c>
      <c r="E6" s="2" t="inlineStr">
        <is>
          <t>ABQLR2615025T</t>
        </is>
      </c>
      <c r="F6" s="2" t="inlineStr">
        <is>
          <t>MythBuster 5 16x9_15</t>
        </is>
      </c>
      <c r="G6" s="2">
        <f>HYPERLINK("https://drive.google.com/file/d/11TiSvqsFD7n9Ji3I8nCc5p0QV5DMQuvd/view","▶ Watch")</f>
        <v/>
      </c>
      <c r="H6" s="2" t="inlineStr">
        <is>
          <t>Brand</t>
        </is>
      </c>
      <c r="I6" s="2" t="inlineStr">
        <is>
          <t>Experience</t>
        </is>
      </c>
      <c r="J6" s="2" t="inlineStr">
        <is>
          <t>Sent previously — "I think only high speed crashes cause serious injuries."</t>
        </is>
      </c>
      <c r="K6" s="2" t="inlineStr">
        <is>
          <t>English</t>
        </is>
      </c>
      <c r="L6" s="2" t="inlineStr">
        <is>
          <t>15</t>
        </is>
      </c>
      <c r="M6" s="2" t="inlineStr">
        <is>
          <t>TV</t>
        </is>
      </c>
      <c r="N6" s="2" t="inlineStr">
        <is>
          <t>ABQ, BHD, CHI, FLG, LVS, PHX, RNO, TUC, YMA</t>
        </is>
      </c>
    </row>
    <row r="7">
      <c r="A7" s="2" t="b">
        <v>0</v>
      </c>
      <c r="B7" s="2" t="b">
        <v>0</v>
      </c>
      <c r="C7" s="2" t="b">
        <v>0</v>
      </c>
      <c r="D7" s="2" t="inlineStr">
        <is>
          <t>ABQ</t>
        </is>
      </c>
      <c r="E7" s="2" t="inlineStr">
        <is>
          <t>ABQLR2615026T</t>
        </is>
      </c>
      <c r="F7" s="2" t="inlineStr">
        <is>
          <t>MythBuster 6 16x9_15</t>
        </is>
      </c>
      <c r="G7" s="2">
        <f>HYPERLINK("https://drive.google.com/file/d/1pRhyW4-eWb4aKMPyRkrDdzZcgusnTMQA/view","▶ Watch")</f>
        <v/>
      </c>
      <c r="H7" s="2" t="inlineStr">
        <is>
          <t>Brand</t>
        </is>
      </c>
      <c r="I7" s="2" t="inlineStr">
        <is>
          <t>Experience</t>
        </is>
      </c>
      <c r="J7" s="2" t="inlineStr">
        <is>
          <t>Sent previously — "Since I have insurance, I don't need a lawyer."</t>
        </is>
      </c>
      <c r="K7" s="2" t="inlineStr">
        <is>
          <t>English</t>
        </is>
      </c>
      <c r="L7" s="2" t="inlineStr">
        <is>
          <t>15</t>
        </is>
      </c>
      <c r="M7" s="2" t="inlineStr">
        <is>
          <t>TV</t>
        </is>
      </c>
      <c r="N7" s="2" t="inlineStr">
        <is>
          <t>ABQ, BHD, CHI, FLG, LVS, PHX, RNO, TUC, YMA</t>
        </is>
      </c>
    </row>
    <row r="8">
      <c r="A8" s="2" t="b">
        <v>0</v>
      </c>
      <c r="B8" s="2" t="b">
        <v>0</v>
      </c>
      <c r="C8" s="2" t="b">
        <v>0</v>
      </c>
      <c r="D8" s="2" t="inlineStr"/>
      <c r="E8" s="2" t="inlineStr"/>
      <c r="F8" s="2" t="inlineStr">
        <is>
          <t>MythBuster 7 16x9_15</t>
        </is>
      </c>
      <c r="G8" s="2" t="inlineStr"/>
      <c r="H8" s="2" t="inlineStr">
        <is>
          <t>Brand</t>
        </is>
      </c>
      <c r="I8" s="2" t="inlineStr">
        <is>
          <t>Experience</t>
        </is>
      </c>
      <c r="J8" s="2" t="inlineStr">
        <is>
          <t>NO LINK in drafts file - New — not ISCI'd yet — "Insurance companies will treat you fairly."</t>
        </is>
      </c>
      <c r="K8" s="2" t="inlineStr">
        <is>
          <t>English</t>
        </is>
      </c>
      <c r="L8" s="2" t="inlineStr">
        <is>
          <t>15</t>
        </is>
      </c>
      <c r="M8" s="2" t="inlineStr">
        <is>
          <t>TV</t>
        </is>
      </c>
      <c r="N8" s="2" t="inlineStr"/>
    </row>
    <row r="9">
      <c r="A9" s="2" t="b">
        <v>0</v>
      </c>
      <c r="B9" s="2" t="b">
        <v>0</v>
      </c>
      <c r="C9" s="2" t="b">
        <v>0</v>
      </c>
      <c r="D9" s="2" t="inlineStr"/>
      <c r="E9" s="2" t="inlineStr"/>
      <c r="F9" s="2" t="inlineStr">
        <is>
          <t>MythBuster 8 16x9_15</t>
        </is>
      </c>
      <c r="G9" s="2" t="inlineStr"/>
      <c r="H9" s="2" t="inlineStr">
        <is>
          <t>Brand</t>
        </is>
      </c>
      <c r="I9" s="2" t="inlineStr">
        <is>
          <t>Experience</t>
        </is>
      </c>
      <c r="J9" s="2" t="inlineStr">
        <is>
          <t>NO LINK in drafts file - New — not ISCI'd yet — "If there's no major visible damage, then the accident isn't serious."</t>
        </is>
      </c>
      <c r="K9" s="2" t="inlineStr">
        <is>
          <t>English</t>
        </is>
      </c>
      <c r="L9" s="2" t="inlineStr">
        <is>
          <t>15</t>
        </is>
      </c>
      <c r="M9" s="2" t="inlineStr">
        <is>
          <t>TV</t>
        </is>
      </c>
      <c r="N9" s="2" t="inlineStr"/>
    </row>
    <row r="10">
      <c r="A10" s="2" t="b">
        <v>0</v>
      </c>
      <c r="B10" s="2" t="b">
        <v>0</v>
      </c>
      <c r="C10" s="2" t="b">
        <v>0</v>
      </c>
      <c r="D10" s="2" t="inlineStr"/>
      <c r="E10" s="2" t="inlineStr"/>
      <c r="F10" s="2" t="inlineStr">
        <is>
          <t>MythBuster 9 16x9_15</t>
        </is>
      </c>
      <c r="G10" s="2">
        <f>HYPERLINK("https://drive.google.com/file/d/18bK0P6P-rKaeQib3vP4yHJeBPdNtZ14F/view","▶ Watch")</f>
        <v/>
      </c>
      <c r="H10" s="2" t="inlineStr">
        <is>
          <t>Brand</t>
        </is>
      </c>
      <c r="I10" s="2" t="inlineStr">
        <is>
          <t>Experience</t>
        </is>
      </c>
      <c r="J10" s="2" t="inlineStr">
        <is>
          <t>Not ISCI'd yet - New — "Rear-end collisions are always the back driver's fault."</t>
        </is>
      </c>
      <c r="K10" s="2" t="inlineStr">
        <is>
          <t>English</t>
        </is>
      </c>
      <c r="L10" s="2" t="inlineStr">
        <is>
          <t>15</t>
        </is>
      </c>
      <c r="M10" s="2" t="inlineStr">
        <is>
          <t>TV</t>
        </is>
      </c>
      <c r="N10" s="2" t="inlineStr"/>
    </row>
    <row r="11">
      <c r="A11" s="2" t="b">
        <v>0</v>
      </c>
      <c r="B11" s="2" t="b">
        <v>0</v>
      </c>
      <c r="C11" s="2" t="b">
        <v>0</v>
      </c>
      <c r="D11" s="2" t="inlineStr"/>
      <c r="E11" s="2" t="inlineStr"/>
      <c r="F11" s="2" t="inlineStr">
        <is>
          <t>MythBuster 10 16x9_15</t>
        </is>
      </c>
      <c r="G11" s="2">
        <f>HYPERLINK("https://drive.google.com/file/d/10s5rJ4FjvIy82D2n-xG_BNkfeEBRCW4M/view","▶ Watch")</f>
        <v/>
      </c>
      <c r="H11" s="2" t="inlineStr">
        <is>
          <t>Brand</t>
        </is>
      </c>
      <c r="I11" s="2" t="inlineStr">
        <is>
          <t>Experience</t>
        </is>
      </c>
      <c r="J11" s="2" t="inlineStr">
        <is>
          <t>Not ISCI'd yet - New — "The airbag didn't go off, the wreck wasn't that bad."</t>
        </is>
      </c>
      <c r="K11" s="2" t="inlineStr">
        <is>
          <t>English</t>
        </is>
      </c>
      <c r="L11" s="2" t="inlineStr">
        <is>
          <t>15</t>
        </is>
      </c>
      <c r="M11" s="2" t="inlineStr">
        <is>
          <t>TV</t>
        </is>
      </c>
      <c r="N11" s="2" t="inlineStr"/>
    </row>
    <row r="12">
      <c r="A12" s="2" t="b">
        <v>0</v>
      </c>
      <c r="B12" s="2" t="b">
        <v>0</v>
      </c>
      <c r="C12" s="2" t="b">
        <v>0</v>
      </c>
      <c r="D12" s="2" t="inlineStr"/>
      <c r="E12" s="2" t="inlineStr"/>
      <c r="F12" s="2" t="inlineStr">
        <is>
          <t>MythBuster 11 16x9_15</t>
        </is>
      </c>
      <c r="G12" s="2">
        <f>HYPERLINK("https://drive.google.com/file/d/1uR6SP_WKJoiv0V06Yzka_SQSMAjt_9HB/view","▶ Watch")</f>
        <v/>
      </c>
      <c r="H12" s="2" t="inlineStr">
        <is>
          <t>Brand</t>
        </is>
      </c>
      <c r="I12" s="2" t="inlineStr">
        <is>
          <t>Experience</t>
        </is>
      </c>
      <c r="J12" s="2" t="inlineStr">
        <is>
          <t>Not ISCI'd yet - New — "After a wreck, if you apologize, you're admitting fault."</t>
        </is>
      </c>
      <c r="K12" s="2" t="inlineStr">
        <is>
          <t>English</t>
        </is>
      </c>
      <c r="L12" s="2" t="inlineStr">
        <is>
          <t>15</t>
        </is>
      </c>
      <c r="M12" s="2" t="inlineStr">
        <is>
          <t>TV</t>
        </is>
      </c>
      <c r="N12" s="2" t="inlineStr"/>
    </row>
    <row r="13">
      <c r="A13" s="2" t="b">
        <v>0</v>
      </c>
      <c r="B13" s="2" t="b">
        <v>0</v>
      </c>
      <c r="C13" s="2" t="b">
        <v>0</v>
      </c>
      <c r="D13" s="2" t="inlineStr"/>
      <c r="E13" s="2" t="inlineStr"/>
      <c r="F13" s="2" t="inlineStr">
        <is>
          <t>MythBuster 12 16x9_15</t>
        </is>
      </c>
      <c r="G13" s="2">
        <f>HYPERLINK("https://drive.google.com/file/d/1lifLXUJD_2UvrYM5xxYEGT_QAnG93J-i/view","▶ Watch")</f>
        <v/>
      </c>
      <c r="H13" s="2" t="inlineStr">
        <is>
          <t>Brand</t>
        </is>
      </c>
      <c r="I13" s="2" t="inlineStr">
        <is>
          <t>Experience</t>
        </is>
      </c>
      <c r="J13" s="2" t="inlineStr">
        <is>
          <t>Not ISCI'd yet - New — "Only reckless drivers get into car accidents."</t>
        </is>
      </c>
      <c r="K13" s="2" t="inlineStr">
        <is>
          <t>English</t>
        </is>
      </c>
      <c r="L13" s="2" t="inlineStr">
        <is>
          <t>15</t>
        </is>
      </c>
      <c r="M13" s="2" t="inlineStr">
        <is>
          <t>TV</t>
        </is>
      </c>
      <c r="N13" s="2" t="inlineStr"/>
    </row>
    <row r="14">
      <c r="A14" s="2" t="b">
        <v>0</v>
      </c>
      <c r="B14" s="2" t="b">
        <v>0</v>
      </c>
      <c r="C14" s="2" t="b">
        <v>0</v>
      </c>
      <c r="D14" s="2" t="inlineStr"/>
      <c r="E14" s="2" t="inlineStr"/>
      <c r="F14" s="2" t="inlineStr">
        <is>
          <t>MythBuster 13 16x9_15</t>
        </is>
      </c>
      <c r="G14" s="2">
        <f>HYPERLINK("https://drive.google.com/file/d/1dHOBopW2k9ByTj6-AnfT6qUvu6VHIyCj/view","▶ Watch")</f>
        <v/>
      </c>
      <c r="H14" s="2" t="inlineStr">
        <is>
          <t>Brand</t>
        </is>
      </c>
      <c r="I14" s="2" t="inlineStr">
        <is>
          <t>Experience</t>
        </is>
      </c>
      <c r="J14" s="2" t="inlineStr">
        <is>
          <t>Not ISCI'd yet - New — "Fender benders don't need to be reported to insurance companies."</t>
        </is>
      </c>
      <c r="K14" s="2" t="inlineStr">
        <is>
          <t>English</t>
        </is>
      </c>
      <c r="L14" s="2" t="inlineStr">
        <is>
          <t>15</t>
        </is>
      </c>
      <c r="M14" s="2" t="inlineStr">
        <is>
          <t>TV</t>
        </is>
      </c>
      <c r="N14" s="2" t="inlineStr"/>
    </row>
    <row r="15">
      <c r="A15" s="2" t="b">
        <v>0</v>
      </c>
      <c r="B15" s="2" t="b">
        <v>0</v>
      </c>
      <c r="C15" s="2" t="b">
        <v>0</v>
      </c>
      <c r="D15" s="2" t="inlineStr"/>
      <c r="E15" s="2" t="inlineStr"/>
      <c r="F15" s="2" t="inlineStr">
        <is>
          <t>MythBuster 14 16x9_15</t>
        </is>
      </c>
      <c r="G15" s="2">
        <f>HYPERLINK("https://drive.google.com/file/d/1IHkgTF6vZXxBRw8aJ7VpR1jK_M2Wvfjo/view","▶ Watch")</f>
        <v/>
      </c>
      <c r="H15" s="2" t="inlineStr">
        <is>
          <t>Brand</t>
        </is>
      </c>
      <c r="I15" s="2" t="inlineStr">
        <is>
          <t>Experience</t>
        </is>
      </c>
      <c r="J15" s="2" t="inlineStr">
        <is>
          <t>Not ISCI'd yet - New — "Medical bills get covered automatically by insurance."</t>
        </is>
      </c>
      <c r="K15" s="2" t="inlineStr">
        <is>
          <t>English</t>
        </is>
      </c>
      <c r="L15" s="2" t="inlineStr">
        <is>
          <t>15</t>
        </is>
      </c>
      <c r="M15" s="2" t="inlineStr">
        <is>
          <t>TV</t>
        </is>
      </c>
      <c r="N15" s="2" t="inlineStr"/>
    </row>
    <row r="16">
      <c r="A16" s="2" t="b">
        <v>0</v>
      </c>
      <c r="B16" s="2" t="b">
        <v>0</v>
      </c>
      <c r="C16" s="2" t="b">
        <v>0</v>
      </c>
      <c r="D16" s="2" t="inlineStr"/>
      <c r="E16" s="2" t="inlineStr"/>
      <c r="F16" s="2" t="inlineStr">
        <is>
          <t>MythBuster 15 16x9_15</t>
        </is>
      </c>
      <c r="G16" s="2">
        <f>HYPERLINK("https://drive.google.com/file/d/1cCR7x6kVMqDkMO1ksKlSSCIGyvx1qazr/view","▶ Watch")</f>
        <v/>
      </c>
      <c r="H16" s="2" t="inlineStr">
        <is>
          <t>Brand</t>
        </is>
      </c>
      <c r="I16" s="2" t="inlineStr">
        <is>
          <t>Experience</t>
        </is>
      </c>
      <c r="J16" s="2" t="inlineStr">
        <is>
          <t>Not ISCI'd yet - New — "Accidents always get settled fast."</t>
        </is>
      </c>
      <c r="K16" s="2" t="inlineStr">
        <is>
          <t>English</t>
        </is>
      </c>
      <c r="L16" s="2" t="inlineStr">
        <is>
          <t>15</t>
        </is>
      </c>
      <c r="M16" s="2" t="inlineStr">
        <is>
          <t>TV</t>
        </is>
      </c>
      <c r="N16" s="2" t="inlineStr"/>
    </row>
    <row r="17">
      <c r="A17" s="2" t="b">
        <v>0</v>
      </c>
      <c r="B17" s="2" t="b">
        <v>0</v>
      </c>
      <c r="C17" s="2" t="b">
        <v>0</v>
      </c>
      <c r="D17" s="2" t="inlineStr"/>
      <c r="E17" s="2" t="inlineStr"/>
      <c r="F17" s="2" t="inlineStr">
        <is>
          <t>MythBuster 16 16x9_15</t>
        </is>
      </c>
      <c r="G17" s="2">
        <f>HYPERLINK("https://drive.google.com/file/d/1CnjY5QPwsfnhVZD-KuqPFh0YDHhFYOmg/view","▶ Watch")</f>
        <v/>
      </c>
      <c r="H17" s="2" t="inlineStr">
        <is>
          <t>Brand</t>
        </is>
      </c>
      <c r="I17" s="2" t="inlineStr">
        <is>
          <t>Experience</t>
        </is>
      </c>
      <c r="J17" s="2" t="inlineStr">
        <is>
          <t>Not ISCI'd yet - New — "You don't need a lawyer unless you're going to court."</t>
        </is>
      </c>
      <c r="K17" s="2" t="inlineStr">
        <is>
          <t>English</t>
        </is>
      </c>
      <c r="L17" s="2" t="inlineStr">
        <is>
          <t>15</t>
        </is>
      </c>
      <c r="M17" s="2" t="inlineStr">
        <is>
          <t>TV</t>
        </is>
      </c>
      <c r="N17" s="2" t="inlineStr"/>
    </row>
  </sheetData>
  <conditionalFormatting sqref="A2:N17">
    <cfRule type="expression" priority="1" dxfId="0" stopIfTrue="1">
      <formula>$A2=TRUE</formula>
    </cfRule>
    <cfRule type="expression" priority="2" dxfId="1" stopIfTrue="1">
      <formula>$B2=TRUE</formula>
    </cfRule>
    <cfRule type="expression" priority="3" dxfId="2" stopIfTrue="1">
      <formula>$C2=TRUE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2026-08-19T21:13:08Z</dcterms:created>
  <dcterms:modified xsi:type="dcterms:W3CDTF">2026-08-19T21:21:55Z</dcterms:modified>
</cp:coreProperties>
</file>