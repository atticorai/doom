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&amp;R In the 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8" customWidth="1" min="2" max="2"/>
    <col width="8" customWidth="1" min="3" max="3"/>
    <col width="8" customWidth="1" min="4" max="4"/>
    <col width="17" customWidth="1" min="5" max="5"/>
    <col width="26" customWidth="1" min="6" max="6"/>
    <col width="10" customWidth="1" min="7" max="7"/>
    <col width="14" customWidth="1" min="8" max="8"/>
    <col width="12" customWidth="1" min="9" max="9"/>
    <col width="24" customWidth="1" min="10" max="10"/>
    <col width="9" customWidth="1" min="11" max="11"/>
    <col width="8" customWidth="1" min="12" max="12"/>
    <col width="8" customWidth="1" min="13" max="13"/>
    <col width="10" customWidth="1" min="14" max="14"/>
    <col width="16" customWidth="1" min="15" max="15"/>
    <col width="8" customWidth="1" min="16" max="16"/>
    <col width="6" customWidth="1" min="17" max="17"/>
    <col width="22" customWidth="1" min="18" max="18"/>
    <col width="60" customWidth="1" min="19" max="19"/>
  </cols>
  <sheetData>
    <row r="1">
      <c r="A1" s="1" t="inlineStr">
        <is>
          <t>Favorite</t>
        </is>
      </c>
      <c r="B1" s="1" t="inlineStr">
        <is>
          <t>Maybe</t>
        </is>
      </c>
      <c r="C1" s="1" t="inlineStr">
        <is>
          <t>Dislike</t>
        </is>
      </c>
      <c r="D1" s="1" t="inlineStr">
        <is>
          <t>Market</t>
        </is>
      </c>
      <c r="E1" s="1" t="inlineStr">
        <is>
          <t>ISCI Code</t>
        </is>
      </c>
      <c r="F1" s="1" t="inlineStr">
        <is>
          <t>Title</t>
        </is>
      </c>
      <c r="G1" s="1" t="inlineStr">
        <is>
          <t>Watch</t>
        </is>
      </c>
      <c r="H1" s="1" t="inlineStr">
        <is>
          <t>Category</t>
        </is>
      </c>
      <c r="I1" s="1" t="inlineStr">
        <is>
          <t>Value Prop</t>
        </is>
      </c>
      <c r="J1" s="1" t="inlineStr">
        <is>
          <t>Notes</t>
        </is>
      </c>
      <c r="K1" s="1" t="inlineStr">
        <is>
          <t>Lang</t>
        </is>
      </c>
      <c r="L1" s="1" t="inlineStr">
        <is>
          <t>Length</t>
        </is>
      </c>
      <c r="M1" s="1" t="inlineStr">
        <is>
          <t>Media</t>
        </is>
      </c>
      <c r="N1" s="1" t="inlineStr">
        <is>
          <t>Markets</t>
        </is>
      </c>
      <c r="O1" s="1" t="inlineStr">
        <is>
          <t>Intended for</t>
        </is>
      </c>
      <c r="P1" s="1" t="inlineStr">
        <is>
          <t>Aspect</t>
        </is>
      </c>
      <c r="Q1" s="1" t="inlineStr">
        <is>
          <t>Ai?</t>
        </is>
      </c>
      <c r="R1" s="1" t="inlineStr">
        <is>
          <t>Tagged with</t>
        </is>
      </c>
      <c r="S1" s="1" t="inlineStr">
        <is>
          <t>Disclaimers in spot</t>
        </is>
      </c>
    </row>
    <row r="2">
      <c r="A2" s="5" t="b">
        <v>0</v>
      </c>
      <c r="B2" s="5" t="b">
        <v>0</v>
      </c>
      <c r="C2" s="5" t="b">
        <v>0</v>
      </c>
      <c r="D2" s="5" t="inlineStr">
        <is>
          <t>PHX</t>
        </is>
      </c>
      <c r="E2" s="5" t="inlineStr"/>
      <c r="F2" s="5" t="inlineStr">
        <is>
          <t>LNR_It's a trap PHX</t>
        </is>
      </c>
      <c r="G2" s="5">
        <f>HYPERLINK("https://drive.google.com/file/d/10DLmAVoh6a-NIp56bgTiMX6eNVd7-0pf/view","▶ Watch")</f>
        <v/>
      </c>
      <c r="H2" s="5" t="inlineStr"/>
      <c r="I2" s="5" t="inlineStr"/>
      <c r="J2" s="5" t="inlineStr"/>
      <c r="K2" s="5" t="inlineStr">
        <is>
          <t>English</t>
        </is>
      </c>
      <c r="L2" s="5" t="inlineStr"/>
      <c r="M2" s="5" t="inlineStr"/>
      <c r="N2" s="5" t="inlineStr">
        <is>
          <t>PHX</t>
        </is>
      </c>
      <c r="O2" s="5" t="inlineStr">
        <is>
          <t>social media</t>
        </is>
      </c>
      <c r="P2" s="5" t="inlineStr">
        <is>
          <t>16x9</t>
        </is>
      </c>
      <c r="Q2" s="5" t="inlineStr">
        <is>
          <t>Yes</t>
        </is>
      </c>
      <c r="R2" s="5" t="inlineStr">
        <is>
          <t>PHX 977-1900</t>
        </is>
      </c>
      <c r="S2" s="4" t="inlineStr">
        <is>
          <t>Dramatization / Ai Actor</t>
        </is>
      </c>
    </row>
    <row r="3">
      <c r="A3" s="5" t="b">
        <v>0</v>
      </c>
      <c r="B3" s="5" t="b">
        <v>0</v>
      </c>
      <c r="C3" s="5" t="b">
        <v>0</v>
      </c>
      <c r="D3" s="5" t="inlineStr">
        <is>
          <t>PHX</t>
        </is>
      </c>
      <c r="E3" s="5" t="inlineStr"/>
      <c r="F3" s="5" t="inlineStr">
        <is>
          <t>LNR_Before and After Phx</t>
        </is>
      </c>
      <c r="G3" s="5">
        <f>HYPERLINK("https://drive.google.com/file/d/1F8vzl1oQwXTq6T03499Mgljbd-hadA67/view","▶ Watch")</f>
        <v/>
      </c>
      <c r="H3" s="5" t="inlineStr"/>
      <c r="I3" s="5" t="inlineStr"/>
      <c r="J3" s="5" t="inlineStr"/>
      <c r="K3" s="5" t="inlineStr">
        <is>
          <t>English</t>
        </is>
      </c>
      <c r="L3" s="5" t="inlineStr"/>
      <c r="M3" s="5" t="inlineStr"/>
      <c r="N3" s="5" t="inlineStr">
        <is>
          <t>PHX</t>
        </is>
      </c>
      <c r="O3" s="5" t="inlineStr">
        <is>
          <t>social media</t>
        </is>
      </c>
      <c r="P3" s="5" t="inlineStr">
        <is>
          <t>16x9</t>
        </is>
      </c>
      <c r="Q3" s="5" t="inlineStr">
        <is>
          <t>Yes</t>
        </is>
      </c>
      <c r="R3" s="5" t="inlineStr">
        <is>
          <t>PHX 977-1900</t>
        </is>
      </c>
      <c r="S3" s="4" t="inlineStr">
        <is>
          <t>Dramatization / Ai Actor</t>
        </is>
      </c>
    </row>
    <row r="4">
      <c r="A4" s="5" t="b">
        <v>0</v>
      </c>
      <c r="B4" s="5" t="b">
        <v>0</v>
      </c>
      <c r="C4" s="5" t="b">
        <v>0</v>
      </c>
      <c r="D4" s="5" t="inlineStr">
        <is>
          <t>PHX</t>
        </is>
      </c>
      <c r="E4" s="5" t="inlineStr"/>
      <c r="F4" s="5" t="inlineStr">
        <is>
          <t>LNR_Different Story</t>
        </is>
      </c>
      <c r="G4" s="5">
        <f>HYPERLINK("https://drive.google.com/file/d/1oUmXQcLQ7hMTI6nWMLvsNx0D-1klIxcW/view","▶ Watch")</f>
        <v/>
      </c>
      <c r="H4" s="5" t="inlineStr"/>
      <c r="I4" s="5" t="inlineStr"/>
      <c r="J4" s="5" t="inlineStr"/>
      <c r="K4" s="5" t="inlineStr">
        <is>
          <t>English</t>
        </is>
      </c>
      <c r="L4" s="5" t="inlineStr"/>
      <c r="M4" s="5" t="inlineStr"/>
      <c r="N4" s="5" t="inlineStr">
        <is>
          <t>PHX</t>
        </is>
      </c>
      <c r="O4" s="5" t="inlineStr">
        <is>
          <t>Broadcast</t>
        </is>
      </c>
      <c r="P4" s="5" t="inlineStr">
        <is>
          <t>16x9</t>
        </is>
      </c>
      <c r="Q4" s="5" t="inlineStr">
        <is>
          <t>Yes</t>
        </is>
      </c>
      <c r="R4" s="5" t="inlineStr">
        <is>
          <t>PHX 977-1900</t>
        </is>
      </c>
      <c r="S4" s="4" t="inlineStr">
        <is>
          <t>Dramatization / Ai actors / Settlement totals and client numbers are from multi-state offices combined</t>
        </is>
      </c>
    </row>
    <row r="5">
      <c r="A5" s="5" t="b">
        <v>0</v>
      </c>
      <c r="B5" s="5" t="b">
        <v>0</v>
      </c>
      <c r="C5" s="5" t="b">
        <v>0</v>
      </c>
      <c r="D5" s="5" t="inlineStr">
        <is>
          <t>PHX</t>
        </is>
      </c>
      <c r="E5" s="5" t="inlineStr"/>
      <c r="F5" s="5" t="inlineStr">
        <is>
          <t>LNR_Amazing Results PHX</t>
        </is>
      </c>
      <c r="G5" s="5">
        <f>HYPERLINK("https://drive.google.com/file/d/16VgkoHUmwlJvKWPc5ltY_QxZkoh7UKTr/view","▶ Watch")</f>
        <v/>
      </c>
      <c r="H5" s="5" t="inlineStr"/>
      <c r="I5" s="5" t="inlineStr"/>
      <c r="J5" s="5" t="inlineStr"/>
      <c r="K5" s="5" t="inlineStr">
        <is>
          <t>English</t>
        </is>
      </c>
      <c r="L5" s="5" t="inlineStr"/>
      <c r="M5" s="5" t="inlineStr"/>
      <c r="N5" s="5" t="inlineStr">
        <is>
          <t>PHX</t>
        </is>
      </c>
      <c r="O5" s="5" t="inlineStr">
        <is>
          <t>Broadcast</t>
        </is>
      </c>
      <c r="P5" s="5" t="inlineStr">
        <is>
          <t>16x9</t>
        </is>
      </c>
      <c r="Q5" s="5" t="inlineStr">
        <is>
          <t>Yes</t>
        </is>
      </c>
      <c r="R5" s="5" t="inlineStr">
        <is>
          <t>PHX 977-1900</t>
        </is>
      </c>
      <c r="S5" s="4" t="inlineStr">
        <is>
          <t>Dramatization / Ai actor / IRC-2014. Results may vary depending on the circumstances of your case.</t>
        </is>
      </c>
    </row>
    <row r="6">
      <c r="A6" s="5" t="b">
        <v>0</v>
      </c>
      <c r="B6" s="5" t="b">
        <v>0</v>
      </c>
      <c r="C6" s="5" t="b">
        <v>0</v>
      </c>
      <c r="D6" s="5" t="inlineStr">
        <is>
          <t>PHX</t>
        </is>
      </c>
      <c r="E6" s="5" t="inlineStr"/>
      <c r="F6" s="5" t="inlineStr">
        <is>
          <t>LNR_So Many PHX</t>
        </is>
      </c>
      <c r="G6" s="5">
        <f>HYPERLINK("https://drive.google.com/file/d/1d5wbtEvh8ou594Wr4VFFXIW-pnFPZlbj/view","▶ Watch")</f>
        <v/>
      </c>
      <c r="H6" s="5" t="inlineStr"/>
      <c r="I6" s="5" t="inlineStr"/>
      <c r="J6" s="5" t="inlineStr"/>
      <c r="K6" s="5" t="inlineStr">
        <is>
          <t>English</t>
        </is>
      </c>
      <c r="L6" s="5" t="inlineStr"/>
      <c r="M6" s="5" t="inlineStr"/>
      <c r="N6" s="5" t="inlineStr">
        <is>
          <t>PHX</t>
        </is>
      </c>
      <c r="O6" s="5" t="inlineStr">
        <is>
          <t>Broadcast</t>
        </is>
      </c>
      <c r="P6" s="5" t="inlineStr">
        <is>
          <t>16x9</t>
        </is>
      </c>
      <c r="Q6" s="5" t="inlineStr">
        <is>
          <t>Yes</t>
        </is>
      </c>
      <c r="R6" s="5" t="inlineStr">
        <is>
          <t>PHX 977-1900</t>
        </is>
      </c>
      <c r="S6" s="4" t="inlineStr">
        <is>
          <t>Dramatization</t>
        </is>
      </c>
    </row>
    <row r="7">
      <c r="A7" s="5" t="b">
        <v>0</v>
      </c>
      <c r="B7" s="5" t="b">
        <v>0</v>
      </c>
      <c r="C7" s="5" t="b">
        <v>0</v>
      </c>
      <c r="D7" s="5" t="inlineStr">
        <is>
          <t>PHX</t>
        </is>
      </c>
      <c r="E7" s="5" t="inlineStr">
        <is>
          <t>PHXLR2615029T</t>
        </is>
      </c>
      <c r="F7" s="5" t="inlineStr">
        <is>
          <t>LNR_Zero Upfront PHX</t>
        </is>
      </c>
      <c r="G7" s="5">
        <f>HYPERLINK("https://wdvcseovujheftpzcoer.supabase.co/storage/v1/object/public/creative/PHXLR2615029T.mp4","▶ Watch")</f>
        <v/>
      </c>
      <c r="H7" s="5" t="inlineStr"/>
      <c r="I7" s="5" t="inlineStr"/>
      <c r="J7" s="5" t="inlineStr">
        <is>
          <t>Already in Doom</t>
        </is>
      </c>
      <c r="K7" s="5" t="inlineStr">
        <is>
          <t>English</t>
        </is>
      </c>
      <c r="L7" s="5" t="inlineStr">
        <is>
          <t>15</t>
        </is>
      </c>
      <c r="M7" s="5" t="inlineStr">
        <is>
          <t>TV</t>
        </is>
      </c>
      <c r="N7" s="5" t="inlineStr">
        <is>
          <t>PHX</t>
        </is>
      </c>
      <c r="O7" s="5" t="inlineStr">
        <is>
          <t>social media</t>
        </is>
      </c>
      <c r="P7" s="5" t="inlineStr">
        <is>
          <t>16x9</t>
        </is>
      </c>
      <c r="Q7" s="5" t="inlineStr">
        <is>
          <t>Yes</t>
        </is>
      </c>
      <c r="R7" s="5" t="inlineStr">
        <is>
          <t>PHX 977-1900</t>
        </is>
      </c>
      <c r="S7" s="4" t="inlineStr">
        <is>
          <t>Dramatization / Ai Actor</t>
        </is>
      </c>
    </row>
    <row r="8">
      <c r="A8" s="5" t="b">
        <v>0</v>
      </c>
      <c r="B8" s="5" t="b">
        <v>0</v>
      </c>
      <c r="C8" s="5" t="b">
        <v>0</v>
      </c>
      <c r="D8" s="5" t="inlineStr">
        <is>
          <t>PHX</t>
        </is>
      </c>
      <c r="E8" s="5" t="inlineStr"/>
      <c r="F8" s="5" t="inlineStr">
        <is>
          <t>LNR_Billion dollar firm PHX</t>
        </is>
      </c>
      <c r="G8" s="5">
        <f>HYPERLINK("https://drive.google.com/file/d/1SG9l5YdUbAxEEBVrzpLGHqvSW2mKIGDu/view","▶ Watch")</f>
        <v/>
      </c>
      <c r="H8" s="5" t="inlineStr"/>
      <c r="I8" s="5" t="inlineStr"/>
      <c r="J8" s="5" t="inlineStr"/>
      <c r="K8" s="5" t="inlineStr">
        <is>
          <t>English</t>
        </is>
      </c>
      <c r="L8" s="5" t="inlineStr"/>
      <c r="M8" s="5" t="inlineStr"/>
      <c r="N8" s="5" t="inlineStr">
        <is>
          <t>PHX</t>
        </is>
      </c>
      <c r="O8" s="5" t="inlineStr">
        <is>
          <t>Broadcast</t>
        </is>
      </c>
      <c r="P8" s="5" t="inlineStr">
        <is>
          <t>16x9</t>
        </is>
      </c>
      <c r="Q8" s="5" t="inlineStr">
        <is>
          <t>Yes</t>
        </is>
      </c>
      <c r="R8" s="5" t="inlineStr">
        <is>
          <t>PHX 977-1900</t>
        </is>
      </c>
      <c r="S8" s="4" t="inlineStr">
        <is>
          <t>Dramatization / Settlement total based on combined multi-state offices</t>
        </is>
      </c>
    </row>
    <row r="9">
      <c r="A9" s="5" t="b">
        <v>0</v>
      </c>
      <c r="B9" s="5" t="b">
        <v>0</v>
      </c>
      <c r="C9" s="5" t="b">
        <v>0</v>
      </c>
      <c r="D9" s="5" t="inlineStr">
        <is>
          <t>PHX</t>
        </is>
      </c>
      <c r="E9" s="5" t="inlineStr"/>
      <c r="F9" s="5" t="inlineStr">
        <is>
          <t>LNR_Settlements PHX</t>
        </is>
      </c>
      <c r="G9" s="5">
        <f>HYPERLINK("https://wdvcseovujheftpzcoer.supabase.co/storage/v1/object/public/creative/PHXLR2615013T.mp4","▶ Watch")</f>
        <v/>
      </c>
      <c r="H9" s="5" t="inlineStr"/>
      <c r="I9" s="5" t="inlineStr"/>
      <c r="J9" s="5" t="inlineStr">
        <is>
          <t>Possibly existing - Settlements2_15 is PHXLR2615013T, confirm if same spot</t>
        </is>
      </c>
      <c r="K9" s="5" t="inlineStr">
        <is>
          <t>English</t>
        </is>
      </c>
      <c r="L9" s="5" t="inlineStr"/>
      <c r="M9" s="5" t="inlineStr"/>
      <c r="N9" s="5" t="inlineStr">
        <is>
          <t>PHX</t>
        </is>
      </c>
      <c r="O9" s="5" t="inlineStr">
        <is>
          <t>Broadcast</t>
        </is>
      </c>
      <c r="P9" s="5" t="inlineStr">
        <is>
          <t>16x9</t>
        </is>
      </c>
      <c r="Q9" s="5" t="inlineStr">
        <is>
          <t>Yes</t>
        </is>
      </c>
      <c r="R9" s="5" t="inlineStr">
        <is>
          <t>PHX 977-1900</t>
        </is>
      </c>
      <c r="S9" s="4" t="inlineStr">
        <is>
          <t>Dramatization / Ai Actor(s) / Settlement totals and client numbers are from multi-state offices combined</t>
        </is>
      </c>
    </row>
    <row r="10">
      <c r="A10" s="5" t="b">
        <v>0</v>
      </c>
      <c r="B10" s="5" t="b">
        <v>0</v>
      </c>
      <c r="C10" s="5" t="b">
        <v>0</v>
      </c>
      <c r="D10" s="5" t="inlineStr">
        <is>
          <t>PHX</t>
        </is>
      </c>
      <c r="E10" s="5" t="inlineStr"/>
      <c r="F10" s="5" t="inlineStr">
        <is>
          <t>LNR_Long Distance PHX</t>
        </is>
      </c>
      <c r="G10" s="5">
        <f>HYPERLINK("https://drive.google.com/file/d/1b8KBNCZdmXRRqWsBiVHNo_oQ49R77S7A/view","▶ Watch")</f>
        <v/>
      </c>
      <c r="H10" s="5" t="inlineStr"/>
      <c r="I10" s="5" t="inlineStr"/>
      <c r="J10" s="5" t="inlineStr"/>
      <c r="K10" s="5" t="inlineStr">
        <is>
          <t>English</t>
        </is>
      </c>
      <c r="L10" s="5" t="inlineStr"/>
      <c r="M10" s="5" t="inlineStr"/>
      <c r="N10" s="5" t="inlineStr">
        <is>
          <t>PHX</t>
        </is>
      </c>
      <c r="O10" s="5" t="inlineStr">
        <is>
          <t>Broadcast</t>
        </is>
      </c>
      <c r="P10" s="5" t="inlineStr">
        <is>
          <t>16x9</t>
        </is>
      </c>
      <c r="Q10" s="5" t="inlineStr">
        <is>
          <t>Yes</t>
        </is>
      </c>
      <c r="R10" s="5" t="inlineStr">
        <is>
          <t>PHX 977-1900</t>
        </is>
      </c>
      <c r="S10" s="4" t="inlineStr">
        <is>
          <t>Dramatization / Ai Actors</t>
        </is>
      </c>
    </row>
    <row r="11">
      <c r="A11" s="5" t="b">
        <v>0</v>
      </c>
      <c r="B11" s="5" t="b">
        <v>0</v>
      </c>
      <c r="C11" s="5" t="b">
        <v>0</v>
      </c>
      <c r="D11" s="5" t="inlineStr">
        <is>
          <t>PHX</t>
        </is>
      </c>
      <c r="E11" s="5" t="inlineStr"/>
      <c r="F11" s="5" t="inlineStr">
        <is>
          <t>LNR_Insurance Fight PHX</t>
        </is>
      </c>
      <c r="G11" s="5">
        <f>HYPERLINK("https://drive.google.com/file/d/1SQt6nyT4dFYs1biFWef3CaWheal-Crgq/view","▶ Watch")</f>
        <v/>
      </c>
      <c r="H11" s="5" t="inlineStr"/>
      <c r="I11" s="5" t="inlineStr"/>
      <c r="J11" s="5" t="inlineStr">
        <is>
          <t>New for PHX video - CHI radio version exists (CHILR2615033R)</t>
        </is>
      </c>
      <c r="K11" s="5" t="inlineStr">
        <is>
          <t>English</t>
        </is>
      </c>
      <c r="L11" s="5" t="inlineStr"/>
      <c r="M11" s="5" t="inlineStr"/>
      <c r="N11" s="5" t="inlineStr">
        <is>
          <t>PHX</t>
        </is>
      </c>
      <c r="O11" s="5" t="inlineStr">
        <is>
          <t>Broadcast</t>
        </is>
      </c>
      <c r="P11" s="5" t="inlineStr">
        <is>
          <t>16x9</t>
        </is>
      </c>
      <c r="Q11" s="5" t="inlineStr">
        <is>
          <t>Yes</t>
        </is>
      </c>
      <c r="R11" s="5" t="inlineStr">
        <is>
          <t>PHX 977-1900</t>
        </is>
      </c>
      <c r="S11" s="4" t="inlineStr">
        <is>
          <t>Dramatization</t>
        </is>
      </c>
    </row>
    <row r="12">
      <c r="A12" s="5" t="b">
        <v>0</v>
      </c>
      <c r="B12" s="5" t="b">
        <v>0</v>
      </c>
      <c r="C12" s="5" t="b">
        <v>0</v>
      </c>
      <c r="D12" s="5" t="inlineStr">
        <is>
          <t>PHX</t>
        </is>
      </c>
      <c r="E12" s="5" t="inlineStr">
        <is>
          <t>PHXLR2615028T</t>
        </is>
      </c>
      <c r="F12" s="5" t="inlineStr">
        <is>
          <t>LNR_Copy Cat PHX</t>
        </is>
      </c>
      <c r="G12" s="5">
        <f>HYPERLINK("https://wdvcseovujheftpzcoer.supabase.co/storage/v1/object/public/creative/PHXLR2615028T.mp4","▶ Watch")</f>
        <v/>
      </c>
      <c r="H12" s="5" t="inlineStr"/>
      <c r="I12" s="5" t="inlineStr"/>
      <c r="J12" s="5" t="inlineStr">
        <is>
          <t>Already in Doom</t>
        </is>
      </c>
      <c r="K12" s="5" t="inlineStr">
        <is>
          <t>English</t>
        </is>
      </c>
      <c r="L12" s="5" t="inlineStr">
        <is>
          <t>15</t>
        </is>
      </c>
      <c r="M12" s="5" t="inlineStr">
        <is>
          <t>TV</t>
        </is>
      </c>
      <c r="N12" s="5" t="inlineStr">
        <is>
          <t>PHX</t>
        </is>
      </c>
      <c r="O12" s="5" t="inlineStr">
        <is>
          <t>Broadcast</t>
        </is>
      </c>
      <c r="P12" s="5" t="inlineStr">
        <is>
          <t>16x9</t>
        </is>
      </c>
      <c r="Q12" s="5" t="inlineStr">
        <is>
          <t>Yes</t>
        </is>
      </c>
      <c r="R12" s="5" t="inlineStr">
        <is>
          <t>PHX 977-1900</t>
        </is>
      </c>
      <c r="S12" s="4" t="inlineStr">
        <is>
          <t>Dramatization</t>
        </is>
      </c>
    </row>
    <row r="13">
      <c r="A13" s="5" t="b">
        <v>0</v>
      </c>
      <c r="B13" s="5" t="b">
        <v>0</v>
      </c>
      <c r="C13" s="5" t="b">
        <v>0</v>
      </c>
      <c r="D13" s="5" t="inlineStr">
        <is>
          <t>PHX</t>
        </is>
      </c>
      <c r="E13" s="5" t="inlineStr"/>
      <c r="F13" s="5" t="inlineStr">
        <is>
          <t>LNR_Eye Chart 26</t>
        </is>
      </c>
      <c r="G13" s="5">
        <f>HYPERLINK("https://drive.google.com/file/d/1XDI7ApFLLZnSBpfYWQUHRI39hVeQwmDS/view","▶ Watch")</f>
        <v/>
      </c>
      <c r="H13" s="5" t="inlineStr"/>
      <c r="I13" s="5" t="inlineStr"/>
      <c r="J13" s="5" t="inlineStr"/>
      <c r="K13" s="5" t="inlineStr">
        <is>
          <t>English</t>
        </is>
      </c>
      <c r="L13" s="5" t="inlineStr"/>
      <c r="M13" s="5" t="inlineStr"/>
      <c r="N13" s="5" t="inlineStr">
        <is>
          <t>PHX</t>
        </is>
      </c>
      <c r="O13" s="5" t="inlineStr">
        <is>
          <t>social media</t>
        </is>
      </c>
      <c r="P13" s="5" t="inlineStr">
        <is>
          <t>16x9</t>
        </is>
      </c>
      <c r="Q13" s="5" t="inlineStr">
        <is>
          <t>Yes</t>
        </is>
      </c>
      <c r="R13" s="5" t="inlineStr">
        <is>
          <t>PHX 977-1900</t>
        </is>
      </c>
      <c r="S13" s="4" t="inlineStr">
        <is>
          <t>Dramatization</t>
        </is>
      </c>
    </row>
    <row r="14">
      <c r="A14" s="5" t="b">
        <v>0</v>
      </c>
      <c r="B14" s="5" t="b">
        <v>0</v>
      </c>
      <c r="C14" s="5" t="b">
        <v>0</v>
      </c>
      <c r="D14" s="5" t="inlineStr">
        <is>
          <t>CHI</t>
        </is>
      </c>
      <c r="E14" s="5" t="inlineStr">
        <is>
          <t>CHILR2615031T</t>
        </is>
      </c>
      <c r="F14" s="5" t="inlineStr">
        <is>
          <t>LNR_Chicago Imposter</t>
        </is>
      </c>
      <c r="G14" s="5">
        <f>HYPERLINK("https://wdvcseovujheftpzcoer.supabase.co/storage/v1/object/public/creative/CHILR2615031T.mp4","▶ Watch")</f>
        <v/>
      </c>
      <c r="H14" s="5" t="inlineStr"/>
      <c r="I14" s="5" t="inlineStr"/>
      <c r="J14" s="5" t="inlineStr">
        <is>
          <t>Already in Doom</t>
        </is>
      </c>
      <c r="K14" s="5" t="inlineStr">
        <is>
          <t>English</t>
        </is>
      </c>
      <c r="L14" s="5" t="inlineStr">
        <is>
          <t>15</t>
        </is>
      </c>
      <c r="M14" s="5" t="inlineStr">
        <is>
          <t>TV</t>
        </is>
      </c>
      <c r="N14" s="5" t="inlineStr">
        <is>
          <t>CHI</t>
        </is>
      </c>
      <c r="O14" s="5" t="inlineStr">
        <is>
          <t>Broadcast</t>
        </is>
      </c>
      <c r="P14" s="5" t="inlineStr">
        <is>
          <t>16x9</t>
        </is>
      </c>
      <c r="Q14" s="5" t="inlineStr">
        <is>
          <t>Yes</t>
        </is>
      </c>
      <c r="R14" s="5" t="inlineStr">
        <is>
          <t>CHI - 708-222-2222</t>
        </is>
      </c>
      <c r="S14" s="4" t="inlineStr">
        <is>
          <t>Dramatization</t>
        </is>
      </c>
    </row>
    <row r="15">
      <c r="A15" s="5" t="b">
        <v>0</v>
      </c>
      <c r="B15" s="5" t="b">
        <v>0</v>
      </c>
      <c r="C15" s="5" t="b">
        <v>0</v>
      </c>
      <c r="D15" s="5" t="inlineStr">
        <is>
          <t>CHI</t>
        </is>
      </c>
      <c r="E15" s="5" t="inlineStr">
        <is>
          <t>CHILR2615032T</t>
        </is>
      </c>
      <c r="F15" s="5" t="inlineStr">
        <is>
          <t>LNR_Chicago Imposter spot 2</t>
        </is>
      </c>
      <c r="G15" s="5">
        <f>HYPERLINK("https://wdvcseovujheftpzcoer.supabase.co/storage/v1/object/public/creative/CHILR2615032T.mp4","▶ Watch")</f>
        <v/>
      </c>
      <c r="H15" s="5" t="inlineStr"/>
      <c r="I15" s="5" t="inlineStr"/>
      <c r="J15" s="5" t="inlineStr">
        <is>
          <t>Already in Doom</t>
        </is>
      </c>
      <c r="K15" s="5" t="inlineStr">
        <is>
          <t>English</t>
        </is>
      </c>
      <c r="L15" s="5" t="inlineStr">
        <is>
          <t>15</t>
        </is>
      </c>
      <c r="M15" s="5" t="inlineStr">
        <is>
          <t>TV</t>
        </is>
      </c>
      <c r="N15" s="5" t="inlineStr">
        <is>
          <t>CHI</t>
        </is>
      </c>
      <c r="O15" s="5" t="inlineStr">
        <is>
          <t>Broadcast</t>
        </is>
      </c>
      <c r="P15" s="5" t="inlineStr">
        <is>
          <t>16x9</t>
        </is>
      </c>
      <c r="Q15" s="5" t="inlineStr">
        <is>
          <t>Yes</t>
        </is>
      </c>
      <c r="R15" s="5" t="inlineStr">
        <is>
          <t>CHI - 708-222-2222</t>
        </is>
      </c>
      <c r="S15" s="4" t="inlineStr">
        <is>
          <t>Dramatization</t>
        </is>
      </c>
    </row>
    <row r="16">
      <c r="A16" s="5" t="b">
        <v>0</v>
      </c>
      <c r="B16" s="5" t="b">
        <v>0</v>
      </c>
      <c r="C16" s="5" t="b">
        <v>0</v>
      </c>
      <c r="D16" s="5" t="inlineStr">
        <is>
          <t>PHX</t>
        </is>
      </c>
      <c r="E16" s="5" t="inlineStr">
        <is>
          <t>PHXLR2615030T</t>
        </is>
      </c>
      <c r="F16" s="5" t="inlineStr">
        <is>
          <t>LNR+LRGB PHX</t>
        </is>
      </c>
      <c r="G16" s="5">
        <f>HYPERLINK("https://wdvcseovujheftpzcoer.supabase.co/storage/v1/object/public/creative/PHXLR2615030T.mp4","▶ Watch")</f>
        <v/>
      </c>
      <c r="H16" s="5" t="inlineStr"/>
      <c r="I16" s="5" t="inlineStr"/>
      <c r="J16" s="5" t="inlineStr">
        <is>
          <t>Already in Doom as PHXLR2615018T / PHXLR2615030T (LRGB_15) - confirm which</t>
        </is>
      </c>
      <c r="K16" s="5" t="inlineStr">
        <is>
          <t>English</t>
        </is>
      </c>
      <c r="L16" s="5" t="inlineStr"/>
      <c r="M16" s="5" t="inlineStr"/>
      <c r="N16" s="5" t="inlineStr">
        <is>
          <t>PHX</t>
        </is>
      </c>
      <c r="O16" s="5" t="inlineStr">
        <is>
          <t>Broadcast</t>
        </is>
      </c>
      <c r="P16" s="5" t="inlineStr">
        <is>
          <t>16x9</t>
        </is>
      </c>
      <c r="Q16" s="5" t="inlineStr">
        <is>
          <t>Yes</t>
        </is>
      </c>
      <c r="R16" s="5" t="inlineStr">
        <is>
          <t>PHX 977-1900</t>
        </is>
      </c>
      <c r="S16" s="4" t="inlineStr">
        <is>
          <t>Dramatization</t>
        </is>
      </c>
    </row>
    <row r="17">
      <c r="A17" s="5" t="b">
        <v>0</v>
      </c>
      <c r="B17" s="5" t="b">
        <v>0</v>
      </c>
      <c r="C17" s="5" t="b">
        <v>0</v>
      </c>
      <c r="D17" s="5" t="inlineStr">
        <is>
          <t>PHX</t>
        </is>
      </c>
      <c r="E17" s="5" t="inlineStr">
        <is>
          <t>PHXLR2615027T</t>
        </is>
      </c>
      <c r="F17" s="5" t="inlineStr">
        <is>
          <t>LNR_Accident tips PHX</t>
        </is>
      </c>
      <c r="G17" s="5">
        <f>HYPERLINK("https://wdvcseovujheftpzcoer.supabase.co/storage/v1/object/public/creative/PHXLR2615027T.mp4","▶ Watch")</f>
        <v/>
      </c>
      <c r="H17" s="5" t="inlineStr"/>
      <c r="I17" s="5" t="inlineStr"/>
      <c r="J17" s="5" t="inlineStr">
        <is>
          <t>Already in Doom (Accident Tips Phoenix_15; generic version PHXLR2615020T also exists)</t>
        </is>
      </c>
      <c r="K17" s="5" t="inlineStr">
        <is>
          <t>English</t>
        </is>
      </c>
      <c r="L17" s="5" t="inlineStr">
        <is>
          <t>15</t>
        </is>
      </c>
      <c r="M17" s="5" t="inlineStr">
        <is>
          <t>TV</t>
        </is>
      </c>
      <c r="N17" s="5" t="inlineStr">
        <is>
          <t>PHX</t>
        </is>
      </c>
      <c r="O17" s="5" t="inlineStr">
        <is>
          <t>Broadcast/social</t>
        </is>
      </c>
      <c r="P17" s="5" t="inlineStr">
        <is>
          <t>16x9</t>
        </is>
      </c>
      <c r="Q17" s="5" t="inlineStr">
        <is>
          <t>Yes</t>
        </is>
      </c>
      <c r="R17" s="5" t="inlineStr">
        <is>
          <t>PHX 977-1900</t>
        </is>
      </c>
      <c r="S17" s="4" t="inlineStr">
        <is>
          <t>Dramatization</t>
        </is>
      </c>
    </row>
    <row r="18">
      <c r="A18" s="5" t="b">
        <v>0</v>
      </c>
      <c r="B18" s="5" t="b">
        <v>0</v>
      </c>
      <c r="C18" s="5" t="b">
        <v>0</v>
      </c>
      <c r="D18" s="5" t="inlineStr"/>
      <c r="E18" s="5" t="inlineStr">
        <is>
          <t>PHXLR2615027T</t>
        </is>
      </c>
      <c r="F18" s="5" t="inlineStr">
        <is>
          <t>LNR_Accident tips PHX</t>
        </is>
      </c>
      <c r="G18" s="5">
        <f>HYPERLINK("https://drive.google.com/file/d/1PSBmU2B97zLJHBJl_WPK3wJxzjy2UcM0/view","▶ Watch")</f>
        <v/>
      </c>
      <c r="H18" s="5" t="inlineStr"/>
      <c r="I18" s="5" t="inlineStr"/>
      <c r="J18" s="5" t="inlineStr">
        <is>
          <t>Already in Doom (Accident Tips Phoenix_15; generic version PHXLR2615020T also exists)</t>
        </is>
      </c>
      <c r="K18" s="5" t="inlineStr">
        <is>
          <t>English</t>
        </is>
      </c>
      <c r="L18" s="5" t="inlineStr">
        <is>
          <t>15</t>
        </is>
      </c>
      <c r="M18" s="5" t="inlineStr">
        <is>
          <t>TV</t>
        </is>
      </c>
      <c r="N18" s="5" t="inlineStr"/>
      <c r="O18" s="5" t="inlineStr">
        <is>
          <t>social media</t>
        </is>
      </c>
      <c r="P18" s="5" t="inlineStr">
        <is>
          <t>16x9</t>
        </is>
      </c>
      <c r="Q18" s="5" t="inlineStr">
        <is>
          <t>Yes</t>
        </is>
      </c>
      <c r="R18" s="5" t="inlineStr">
        <is>
          <t>National 844-977-1900</t>
        </is>
      </c>
      <c r="S18" s="4" t="inlineStr">
        <is>
          <t>Dramatization</t>
        </is>
      </c>
    </row>
    <row r="19">
      <c r="A19" s="5" t="b">
        <v>0</v>
      </c>
      <c r="B19" s="5" t="b">
        <v>0</v>
      </c>
      <c r="C19" s="5" t="b">
        <v>0</v>
      </c>
      <c r="D19" s="5" t="inlineStr"/>
      <c r="E19" s="5" t="inlineStr">
        <is>
          <t>ABQLR2615021T</t>
        </is>
      </c>
      <c r="F19" s="5" t="inlineStr">
        <is>
          <t>LNR_MythBuster1 16x9</t>
        </is>
      </c>
      <c r="G19" s="5">
        <f>HYPERLINK("https://wdvcseovujheftpzcoer.supabase.co/storage/v1/object/public/creative/ABQLR2615021T.mp4","▶ Watch")</f>
        <v/>
      </c>
      <c r="H19" s="5" t="inlineStr"/>
      <c r="I19" s="5" t="inlineStr"/>
      <c r="J19" s="5" t="inlineStr">
        <is>
          <t>Already in Doom (16x9 TV set, per-market codes; ABQ shown)</t>
        </is>
      </c>
      <c r="K19" s="5" t="inlineStr">
        <is>
          <t>English</t>
        </is>
      </c>
      <c r="L19" s="5" t="inlineStr">
        <is>
          <t>15</t>
        </is>
      </c>
      <c r="M19" s="5" t="inlineStr">
        <is>
          <t>TV</t>
        </is>
      </c>
      <c r="N19" s="5" t="inlineStr"/>
      <c r="O19" s="5" t="inlineStr">
        <is>
          <t>social media</t>
        </is>
      </c>
      <c r="P19" s="5" t="inlineStr">
        <is>
          <t>16x9</t>
        </is>
      </c>
      <c r="Q19" s="5" t="inlineStr">
        <is>
          <t>Yes</t>
        </is>
      </c>
      <c r="R19" s="5" t="inlineStr">
        <is>
          <t>National 844-977-1900</t>
        </is>
      </c>
      <c r="S19" s="4" t="inlineStr">
        <is>
          <t>Dramatization / Ai Actor</t>
        </is>
      </c>
    </row>
    <row r="20">
      <c r="A20" s="5" t="b">
        <v>0</v>
      </c>
      <c r="B20" s="5" t="b">
        <v>0</v>
      </c>
      <c r="C20" s="5" t="b">
        <v>0</v>
      </c>
      <c r="D20" s="5" t="inlineStr"/>
      <c r="E20" s="5" t="inlineStr">
        <is>
          <t>ABQLR2615022T</t>
        </is>
      </c>
      <c r="F20" s="5" t="inlineStr">
        <is>
          <t>LNR_MythBuster2 16x9</t>
        </is>
      </c>
      <c r="G20" s="5">
        <f>HYPERLINK("https://wdvcseovujheftpzcoer.supabase.co/storage/v1/object/public/creative/ABQLR2615022T.mp4","▶ Watch")</f>
        <v/>
      </c>
      <c r="H20" s="5" t="inlineStr"/>
      <c r="I20" s="5" t="inlineStr"/>
      <c r="J20" s="5" t="inlineStr">
        <is>
          <t>Already in Doom (16x9 TV set, per-market codes; ABQ shown)</t>
        </is>
      </c>
      <c r="K20" s="5" t="inlineStr">
        <is>
          <t>English</t>
        </is>
      </c>
      <c r="L20" s="5" t="inlineStr">
        <is>
          <t>15</t>
        </is>
      </c>
      <c r="M20" s="5" t="inlineStr">
        <is>
          <t>TV</t>
        </is>
      </c>
      <c r="N20" s="5" t="inlineStr"/>
      <c r="O20" s="5" t="inlineStr">
        <is>
          <t>social media</t>
        </is>
      </c>
      <c r="P20" s="5" t="inlineStr">
        <is>
          <t>16x9</t>
        </is>
      </c>
      <c r="Q20" s="5" t="inlineStr">
        <is>
          <t>Yes</t>
        </is>
      </c>
      <c r="R20" s="5" t="inlineStr">
        <is>
          <t>National 844-977-1900</t>
        </is>
      </c>
      <c r="S20" s="4" t="inlineStr">
        <is>
          <t>Dramatization / Ai Actor</t>
        </is>
      </c>
    </row>
    <row r="21">
      <c r="A21" s="5" t="b">
        <v>0</v>
      </c>
      <c r="B21" s="5" t="b">
        <v>0</v>
      </c>
      <c r="C21" s="5" t="b">
        <v>0</v>
      </c>
      <c r="D21" s="5" t="inlineStr"/>
      <c r="E21" s="5" t="inlineStr">
        <is>
          <t>ABQLR2615023T</t>
        </is>
      </c>
      <c r="F21" s="5" t="inlineStr">
        <is>
          <t>LNR_MythBuster3 16x9</t>
        </is>
      </c>
      <c r="G21" s="5">
        <f>HYPERLINK("https://wdvcseovujheftpzcoer.supabase.co/storage/v1/object/public/creative/ABQLR2615023T.mp4","▶ Watch")</f>
        <v/>
      </c>
      <c r="H21" s="5" t="inlineStr"/>
      <c r="I21" s="5" t="inlineStr"/>
      <c r="J21" s="5" t="inlineStr">
        <is>
          <t>Already in Doom (16x9 TV set, per-market codes; ABQ shown)</t>
        </is>
      </c>
      <c r="K21" s="5" t="inlineStr">
        <is>
          <t>English</t>
        </is>
      </c>
      <c r="L21" s="5" t="inlineStr">
        <is>
          <t>15</t>
        </is>
      </c>
      <c r="M21" s="5" t="inlineStr">
        <is>
          <t>TV</t>
        </is>
      </c>
      <c r="N21" s="5" t="inlineStr"/>
      <c r="O21" s="5" t="inlineStr">
        <is>
          <t>social media</t>
        </is>
      </c>
      <c r="P21" s="5" t="inlineStr">
        <is>
          <t>16x9</t>
        </is>
      </c>
      <c r="Q21" s="5" t="inlineStr">
        <is>
          <t>Yes</t>
        </is>
      </c>
      <c r="R21" s="5" t="inlineStr">
        <is>
          <t>National 844-977-1900</t>
        </is>
      </c>
      <c r="S21" s="4" t="inlineStr">
        <is>
          <t>Dramatization / Ai Actor</t>
        </is>
      </c>
    </row>
    <row r="22">
      <c r="A22" s="5" t="b">
        <v>0</v>
      </c>
      <c r="B22" s="5" t="b">
        <v>0</v>
      </c>
      <c r="C22" s="5" t="b">
        <v>0</v>
      </c>
      <c r="D22" s="5" t="inlineStr"/>
      <c r="E22" s="5" t="inlineStr">
        <is>
          <t>ABQLR2615024T</t>
        </is>
      </c>
      <c r="F22" s="5" t="inlineStr">
        <is>
          <t>LNR_MythBuster4 16x9</t>
        </is>
      </c>
      <c r="G22" s="5">
        <f>HYPERLINK("https://wdvcseovujheftpzcoer.supabase.co/storage/v1/object/public/creative/ABQLR2615024T.mp4","▶ Watch")</f>
        <v/>
      </c>
      <c r="H22" s="5" t="inlineStr"/>
      <c r="I22" s="5" t="inlineStr"/>
      <c r="J22" s="5" t="inlineStr">
        <is>
          <t>Already in Doom (16x9 TV set, per-market codes; ABQ shown)</t>
        </is>
      </c>
      <c r="K22" s="5" t="inlineStr">
        <is>
          <t>English</t>
        </is>
      </c>
      <c r="L22" s="5" t="inlineStr">
        <is>
          <t>15</t>
        </is>
      </c>
      <c r="M22" s="5" t="inlineStr">
        <is>
          <t>TV</t>
        </is>
      </c>
      <c r="N22" s="5" t="inlineStr"/>
      <c r="O22" s="5" t="inlineStr">
        <is>
          <t>social media</t>
        </is>
      </c>
      <c r="P22" s="5" t="inlineStr">
        <is>
          <t>16x9</t>
        </is>
      </c>
      <c r="Q22" s="5" t="inlineStr">
        <is>
          <t>Yes</t>
        </is>
      </c>
      <c r="R22" s="5" t="inlineStr">
        <is>
          <t>National 844-977-1900</t>
        </is>
      </c>
      <c r="S22" s="4" t="inlineStr">
        <is>
          <t>Dramatization / Ai Actor</t>
        </is>
      </c>
    </row>
    <row r="23">
      <c r="A23" s="5" t="b">
        <v>0</v>
      </c>
      <c r="B23" s="5" t="b">
        <v>0</v>
      </c>
      <c r="C23" s="5" t="b">
        <v>0</v>
      </c>
      <c r="D23" s="5" t="inlineStr"/>
      <c r="E23" s="5" t="inlineStr">
        <is>
          <t>ABQLR2615025T</t>
        </is>
      </c>
      <c r="F23" s="5" t="inlineStr">
        <is>
          <t>LNR_MythBuster5 16x9</t>
        </is>
      </c>
      <c r="G23" s="5">
        <f>HYPERLINK("https://wdvcseovujheftpzcoer.supabase.co/storage/v1/object/public/creative/ABQLR2615025T.mp4","▶ Watch")</f>
        <v/>
      </c>
      <c r="H23" s="5" t="inlineStr"/>
      <c r="I23" s="5" t="inlineStr"/>
      <c r="J23" s="5" t="inlineStr">
        <is>
          <t>Already in Doom (16x9 TV set, per-market codes; ABQ shown)</t>
        </is>
      </c>
      <c r="K23" s="5" t="inlineStr">
        <is>
          <t>English</t>
        </is>
      </c>
      <c r="L23" s="5" t="inlineStr">
        <is>
          <t>15</t>
        </is>
      </c>
      <c r="M23" s="5" t="inlineStr">
        <is>
          <t>TV</t>
        </is>
      </c>
      <c r="N23" s="5" t="inlineStr"/>
      <c r="O23" s="5" t="inlineStr">
        <is>
          <t>social media</t>
        </is>
      </c>
      <c r="P23" s="5" t="inlineStr">
        <is>
          <t>16x9</t>
        </is>
      </c>
      <c r="Q23" s="5" t="inlineStr">
        <is>
          <t>Yes</t>
        </is>
      </c>
      <c r="R23" s="5" t="inlineStr">
        <is>
          <t>National 844-977-1900</t>
        </is>
      </c>
      <c r="S23" s="4" t="inlineStr">
        <is>
          <t>Dramatization / Ai Actor</t>
        </is>
      </c>
    </row>
    <row r="24">
      <c r="A24" s="5" t="b">
        <v>0</v>
      </c>
      <c r="B24" s="5" t="b">
        <v>0</v>
      </c>
      <c r="C24" s="5" t="b">
        <v>0</v>
      </c>
      <c r="D24" s="5" t="inlineStr"/>
      <c r="E24" s="5" t="inlineStr">
        <is>
          <t>ABQLR2615026T</t>
        </is>
      </c>
      <c r="F24" s="5" t="inlineStr">
        <is>
          <t>LNR_MythBuster6 16x9</t>
        </is>
      </c>
      <c r="G24" s="5">
        <f>HYPERLINK("https://wdvcseovujheftpzcoer.supabase.co/storage/v1/object/public/creative/ABQLR2615026T.mp4","▶ Watch")</f>
        <v/>
      </c>
      <c r="H24" s="5" t="inlineStr"/>
      <c r="I24" s="5" t="inlineStr"/>
      <c r="J24" s="5" t="inlineStr">
        <is>
          <t>Already in Doom (16x9 TV set, per-market codes; ABQ shown)</t>
        </is>
      </c>
      <c r="K24" s="5" t="inlineStr">
        <is>
          <t>English</t>
        </is>
      </c>
      <c r="L24" s="5" t="inlineStr">
        <is>
          <t>15</t>
        </is>
      </c>
      <c r="M24" s="5" t="inlineStr">
        <is>
          <t>TV</t>
        </is>
      </c>
      <c r="N24" s="5" t="inlineStr"/>
      <c r="O24" s="5" t="inlineStr">
        <is>
          <t>social media</t>
        </is>
      </c>
      <c r="P24" s="5" t="inlineStr">
        <is>
          <t>16x9</t>
        </is>
      </c>
      <c r="Q24" s="5" t="inlineStr">
        <is>
          <t>Yes</t>
        </is>
      </c>
      <c r="R24" s="5" t="inlineStr">
        <is>
          <t>National 844-977-1900</t>
        </is>
      </c>
      <c r="S24" s="4" t="inlineStr">
        <is>
          <t>Dramatization / Ai Actor</t>
        </is>
      </c>
    </row>
    <row r="25">
      <c r="A25" s="5" t="b">
        <v>0</v>
      </c>
      <c r="B25" s="5" t="b">
        <v>0</v>
      </c>
      <c r="C25" s="5" t="b">
        <v>0</v>
      </c>
      <c r="D25" s="5" t="inlineStr"/>
      <c r="E25" s="5" t="inlineStr">
        <is>
          <t>ABQLR2615001D</t>
        </is>
      </c>
      <c r="F25" s="5" t="inlineStr">
        <is>
          <t>LNR_MythBuster1 9x16</t>
        </is>
      </c>
      <c r="G25" s="5">
        <f>HYPERLINK("https://wdvcseovujheftpzcoer.supabase.co/storage/v1/object/public/creative/ABQLR2615001D.mp4","▶ Watch")</f>
        <v/>
      </c>
      <c r="H25" s="5" t="inlineStr"/>
      <c r="I25" s="5" t="inlineStr"/>
      <c r="J25" s="5" t="inlineStr">
        <is>
          <t>Already in Doom (9x16 digital set, per-market codes; ABQ shown)</t>
        </is>
      </c>
      <c r="K25" s="5" t="inlineStr">
        <is>
          <t>English</t>
        </is>
      </c>
      <c r="L25" s="5" t="inlineStr">
        <is>
          <t>15</t>
        </is>
      </c>
      <c r="M25" s="5" t="inlineStr">
        <is>
          <t>Digital</t>
        </is>
      </c>
      <c r="N25" s="5" t="inlineStr"/>
      <c r="O25" s="5" t="inlineStr">
        <is>
          <t>social media</t>
        </is>
      </c>
      <c r="P25" s="5" t="inlineStr">
        <is>
          <t>9x16</t>
        </is>
      </c>
      <c r="Q25" s="5" t="inlineStr">
        <is>
          <t>Yes</t>
        </is>
      </c>
      <c r="R25" s="5" t="inlineStr">
        <is>
          <t>National 844-977-1900</t>
        </is>
      </c>
      <c r="S25" s="4" t="inlineStr">
        <is>
          <t>Dramatization / Ai Actor</t>
        </is>
      </c>
    </row>
    <row r="26">
      <c r="A26" s="5" t="b">
        <v>0</v>
      </c>
      <c r="B26" s="5" t="b">
        <v>0</v>
      </c>
      <c r="C26" s="5" t="b">
        <v>0</v>
      </c>
      <c r="D26" s="5" t="inlineStr"/>
      <c r="E26" s="5" t="inlineStr">
        <is>
          <t>ABQLR2615002D</t>
        </is>
      </c>
      <c r="F26" s="5" t="inlineStr">
        <is>
          <t>LNR_MythBuster2 9x16</t>
        </is>
      </c>
      <c r="G26" s="5">
        <f>HYPERLINK("https://wdvcseovujheftpzcoer.supabase.co/storage/v1/object/public/creative/ABQLR2615002D.mp4","▶ Watch")</f>
        <v/>
      </c>
      <c r="H26" s="5" t="inlineStr"/>
      <c r="I26" s="5" t="inlineStr"/>
      <c r="J26" s="5" t="inlineStr">
        <is>
          <t>Already in Doom (9x16 digital set, per-market codes; ABQ shown)</t>
        </is>
      </c>
      <c r="K26" s="5" t="inlineStr">
        <is>
          <t>English</t>
        </is>
      </c>
      <c r="L26" s="5" t="inlineStr">
        <is>
          <t>15</t>
        </is>
      </c>
      <c r="M26" s="5" t="inlineStr">
        <is>
          <t>Digital</t>
        </is>
      </c>
      <c r="N26" s="5" t="inlineStr"/>
      <c r="O26" s="5" t="inlineStr">
        <is>
          <t>social media</t>
        </is>
      </c>
      <c r="P26" s="5" t="inlineStr">
        <is>
          <t>9x16</t>
        </is>
      </c>
      <c r="Q26" s="5" t="inlineStr">
        <is>
          <t>Yes</t>
        </is>
      </c>
      <c r="R26" s="5" t="inlineStr">
        <is>
          <t>National 844-977-1900</t>
        </is>
      </c>
      <c r="S26" s="4" t="inlineStr">
        <is>
          <t>Dramatization / Ai Actor</t>
        </is>
      </c>
    </row>
    <row r="27">
      <c r="A27" s="5" t="b">
        <v>0</v>
      </c>
      <c r="B27" s="5" t="b">
        <v>0</v>
      </c>
      <c r="C27" s="5" t="b">
        <v>0</v>
      </c>
      <c r="D27" s="5" t="inlineStr"/>
      <c r="E27" s="5" t="inlineStr">
        <is>
          <t>ABQLR2615003D</t>
        </is>
      </c>
      <c r="F27" s="5" t="inlineStr">
        <is>
          <t>LNR_MythBuster3 9x16</t>
        </is>
      </c>
      <c r="G27" s="5">
        <f>HYPERLINK("https://wdvcseovujheftpzcoer.supabase.co/storage/v1/object/public/creative/ABQLR2615003D.mp4","▶ Watch")</f>
        <v/>
      </c>
      <c r="H27" s="5" t="inlineStr"/>
      <c r="I27" s="5" t="inlineStr"/>
      <c r="J27" s="5" t="inlineStr">
        <is>
          <t>Already in Doom (9x16 digital set, per-market codes; ABQ shown)</t>
        </is>
      </c>
      <c r="K27" s="5" t="inlineStr">
        <is>
          <t>English</t>
        </is>
      </c>
      <c r="L27" s="5" t="inlineStr">
        <is>
          <t>15</t>
        </is>
      </c>
      <c r="M27" s="5" t="inlineStr">
        <is>
          <t>Digital</t>
        </is>
      </c>
      <c r="N27" s="5" t="inlineStr"/>
      <c r="O27" s="5" t="inlineStr">
        <is>
          <t>social media</t>
        </is>
      </c>
      <c r="P27" s="5" t="inlineStr">
        <is>
          <t>9x16</t>
        </is>
      </c>
      <c r="Q27" s="5" t="inlineStr">
        <is>
          <t>Yes</t>
        </is>
      </c>
      <c r="R27" s="5" t="inlineStr">
        <is>
          <t>National 844-977-1900</t>
        </is>
      </c>
      <c r="S27" s="4" t="inlineStr">
        <is>
          <t>Dramatization / Ai Actor</t>
        </is>
      </c>
    </row>
    <row r="28">
      <c r="A28" s="5" t="b">
        <v>0</v>
      </c>
      <c r="B28" s="5" t="b">
        <v>0</v>
      </c>
      <c r="C28" s="5" t="b">
        <v>0</v>
      </c>
      <c r="D28" s="5" t="inlineStr"/>
      <c r="E28" s="5" t="inlineStr">
        <is>
          <t>ABQLR2615004D</t>
        </is>
      </c>
      <c r="F28" s="5" t="inlineStr">
        <is>
          <t>LNR_MythBuster4 9x16</t>
        </is>
      </c>
      <c r="G28" s="5">
        <f>HYPERLINK("https://wdvcseovujheftpzcoer.supabase.co/storage/v1/object/public/creative/ABQLR2615004D.mp4","▶ Watch")</f>
        <v/>
      </c>
      <c r="H28" s="5" t="inlineStr"/>
      <c r="I28" s="5" t="inlineStr"/>
      <c r="J28" s="5" t="inlineStr">
        <is>
          <t>Already in Doom (9x16 digital set, per-market codes; ABQ shown)</t>
        </is>
      </c>
      <c r="K28" s="5" t="inlineStr">
        <is>
          <t>English</t>
        </is>
      </c>
      <c r="L28" s="5" t="inlineStr">
        <is>
          <t>15</t>
        </is>
      </c>
      <c r="M28" s="5" t="inlineStr">
        <is>
          <t>Digital</t>
        </is>
      </c>
      <c r="N28" s="5" t="inlineStr"/>
      <c r="O28" s="5" t="inlineStr">
        <is>
          <t>social media</t>
        </is>
      </c>
      <c r="P28" s="5" t="inlineStr">
        <is>
          <t>9x16</t>
        </is>
      </c>
      <c r="Q28" s="5" t="inlineStr">
        <is>
          <t>Yes</t>
        </is>
      </c>
      <c r="R28" s="5" t="inlineStr">
        <is>
          <t>National 844-977-1900</t>
        </is>
      </c>
      <c r="S28" s="4" t="inlineStr">
        <is>
          <t>Dramatization / Ai Actor</t>
        </is>
      </c>
    </row>
    <row r="29">
      <c r="A29" s="5" t="b">
        <v>0</v>
      </c>
      <c r="B29" s="5" t="b">
        <v>0</v>
      </c>
      <c r="C29" s="5" t="b">
        <v>0</v>
      </c>
      <c r="D29" s="5" t="inlineStr"/>
      <c r="E29" s="5" t="inlineStr">
        <is>
          <t>ABQLR2615005D</t>
        </is>
      </c>
      <c r="F29" s="5" t="inlineStr">
        <is>
          <t>LNR_MythBuster5 9x16</t>
        </is>
      </c>
      <c r="G29" s="5">
        <f>HYPERLINK("https://wdvcseovujheftpzcoer.supabase.co/storage/v1/object/public/creative/ABQLR2615005D.mp4","▶ Watch")</f>
        <v/>
      </c>
      <c r="H29" s="5" t="inlineStr"/>
      <c r="I29" s="5" t="inlineStr"/>
      <c r="J29" s="5" t="inlineStr">
        <is>
          <t>Already in Doom (9x16 digital set, per-market codes; ABQ shown)</t>
        </is>
      </c>
      <c r="K29" s="5" t="inlineStr">
        <is>
          <t>English</t>
        </is>
      </c>
      <c r="L29" s="5" t="inlineStr">
        <is>
          <t>15</t>
        </is>
      </c>
      <c r="M29" s="5" t="inlineStr">
        <is>
          <t>Digital</t>
        </is>
      </c>
      <c r="N29" s="5" t="inlineStr"/>
      <c r="O29" s="5" t="inlineStr">
        <is>
          <t>social media</t>
        </is>
      </c>
      <c r="P29" s="5" t="inlineStr">
        <is>
          <t>9x16</t>
        </is>
      </c>
      <c r="Q29" s="5" t="inlineStr">
        <is>
          <t>Yes</t>
        </is>
      </c>
      <c r="R29" s="5" t="inlineStr">
        <is>
          <t>National 844-977-1900</t>
        </is>
      </c>
      <c r="S29" s="4" t="inlineStr">
        <is>
          <t>Dramatization / Ai Actor</t>
        </is>
      </c>
    </row>
    <row r="30">
      <c r="A30" s="5" t="b">
        <v>0</v>
      </c>
      <c r="B30" s="5" t="b">
        <v>0</v>
      </c>
      <c r="C30" s="5" t="b">
        <v>0</v>
      </c>
      <c r="D30" s="5" t="inlineStr"/>
      <c r="E30" s="5" t="inlineStr">
        <is>
          <t>ABQLR2615006D</t>
        </is>
      </c>
      <c r="F30" s="5" t="inlineStr">
        <is>
          <t>LNR_MythBuster6 9x16</t>
        </is>
      </c>
      <c r="G30" s="5">
        <f>HYPERLINK("https://wdvcseovujheftpzcoer.supabase.co/storage/v1/object/public/creative/ABQLR2615006D.mp4","▶ Watch")</f>
        <v/>
      </c>
      <c r="H30" s="5" t="inlineStr"/>
      <c r="I30" s="5" t="inlineStr"/>
      <c r="J30" s="5" t="inlineStr">
        <is>
          <t>Already in Doom (9x16 digital set, per-market codes; ABQ shown)</t>
        </is>
      </c>
      <c r="K30" s="5" t="inlineStr">
        <is>
          <t>English</t>
        </is>
      </c>
      <c r="L30" s="5" t="inlineStr">
        <is>
          <t>15</t>
        </is>
      </c>
      <c r="M30" s="5" t="inlineStr">
        <is>
          <t>Digital</t>
        </is>
      </c>
      <c r="N30" s="5" t="inlineStr"/>
      <c r="O30" s="5" t="inlineStr">
        <is>
          <t>social media</t>
        </is>
      </c>
      <c r="P30" s="5" t="inlineStr">
        <is>
          <t>9x16</t>
        </is>
      </c>
      <c r="Q30" s="5" t="inlineStr">
        <is>
          <t>Yes</t>
        </is>
      </c>
      <c r="R30" s="5" t="inlineStr">
        <is>
          <t>National 844-977-1900</t>
        </is>
      </c>
      <c r="S30" s="4" t="inlineStr">
        <is>
          <t>Dramatization / Ai Actor</t>
        </is>
      </c>
    </row>
  </sheetData>
  <conditionalFormatting sqref="A2:S30">
    <cfRule type="expression" priority="1" dxfId="0" stopIfTrue="1">
      <formula>$A2=TRUE</formula>
    </cfRule>
    <cfRule type="expression" priority="2" dxfId="1" stopIfTrue="1">
      <formula>$B2=TRUE</formula>
    </cfRule>
    <cfRule type="expression" priority="3" dxfId="2" stopIfTrue="1">
      <formula>$C2=TRUE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2026-08-19T21:13:08Z</dcterms:created>
  <dcterms:modified xsi:type="dcterms:W3CDTF">2026-08-20T18:38:55Z</dcterms:modified>
</cp:coreProperties>
</file>